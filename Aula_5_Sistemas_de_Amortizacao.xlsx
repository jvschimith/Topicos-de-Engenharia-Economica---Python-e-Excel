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6de5263bc42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7767aca548443c8"/>
    <x:sheet xmlns:r="http://schemas.openxmlformats.org/officeDocument/2006/relationships" name="Ex1_PagUnico" sheetId="2" r:id="R514f37893f4740a9"/>
    <x:sheet xmlns:r="http://schemas.openxmlformats.org/officeDocument/2006/relationships" name="Ex2_SAA" sheetId="3" r:id="Rc2b07c091975411d"/>
    <x:sheet xmlns:r="http://schemas.openxmlformats.org/officeDocument/2006/relationships" name="Ex3_Price" sheetId="4" r:id="R4b57bfeb7f28423d"/>
    <x:sheet xmlns:r="http://schemas.openxmlformats.org/officeDocument/2006/relationships" name="Ex4_Price_37" sheetId="5" r:id="R7812c624a13c4308"/>
    <x:sheet xmlns:r="http://schemas.openxmlformats.org/officeDocument/2006/relationships" name="Ex5_SAC" sheetId="6" r:id="R9970e5650adc4a56"/>
    <x:sheet xmlns:r="http://schemas.openxmlformats.org/officeDocument/2006/relationships" name="Ex6_Comparativo" sheetId="7" r:id="R268dca64bec245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R$ #,##0.00;[Red](R$ #,##0.00);-"/>
    <x:numFmt numFmtId="201" formatCode="0.00%"/>
    <x:numFmt numFmtId="202" formatCode="#,##0;[Red](#,##0);-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left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200" fontId="5" fillId="4" borderId="0" xfId="0" applyNumberFormat="1" applyFont="1" applyFill="1" applyBorder="1"/>
    <x:xf numFmtId="200" fontId="5" fillId="4" borderId="1" xfId="0" applyNumberFormat="1" applyFont="1" applyFill="1" applyBorder="1"/>
    <x:xf numFmtId="201" fontId="5" fillId="4" borderId="0" xfId="0" applyNumberFormat="1" applyFont="1" applyFill="1" applyBorder="1"/>
    <x:xf numFmtId="201" fontId="5" fillId="4" borderId="1" xfId="0" applyNumberFormat="1" applyFont="1" applyFill="1" applyBorder="1"/>
    <x:xf numFmtId="202" fontId="5" fillId="4" borderId="0" xfId="0" applyNumberFormat="1" applyFont="1" applyFill="1" applyBorder="1"/>
    <x:xf numFmtId="202" fontId="5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wrapText="1"/>
    </x:xf>
    <x:xf numFmtId="200" fontId="5" fillId="4" borderId="0" xfId="0" applyNumberFormat="1" applyFont="1" applyFill="1" applyBorder="1" applyAlignment="1">
      <x:alignment wrapText="1"/>
    </x:xf>
    <x:xf numFmtId="201" fontId="5" fillId="4" borderId="0" xfId="0" applyNumberFormat="1" applyFont="1" applyFill="1" applyBorder="1" applyAlignment="1">
      <x:alignment wrapText="1"/>
    </x:xf>
    <x:xf numFmtId="202" fontId="5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5" fillId="4" borderId="1" xfId="0" applyNumberFormat="1" applyFont="1" applyFill="1" applyBorder="1" applyAlignment="1">
      <x:alignment wrapText="1"/>
    </x:xf>
    <x:xf numFmtId="201" fontId="5" fillId="4" borderId="1" xfId="0" applyNumberFormat="1" applyFont="1" applyFill="1" applyBorder="1" applyAlignment="1">
      <x:alignment wrapText="1"/>
    </x:xf>
    <x:xf numFmtId="202" fontId="5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72aa2b92448d9" /><Relationship Type="http://schemas.openxmlformats.org/officeDocument/2006/relationships/theme" Target="/xl/theme/theme1.xml" Id="R4e8bd506a8cb4f8e" /><Relationship Type="http://schemas.openxmlformats.org/officeDocument/2006/relationships/sharedStrings" Target="/xl/sharedStrings.xml" Id="Rda681e75b7eb4449" /><Relationship Type="http://schemas.openxmlformats.org/officeDocument/2006/relationships/worksheet" Target="/xl/worksheets/sheet1.xml" Id="R07767aca548443c8" /><Relationship Type="http://schemas.openxmlformats.org/officeDocument/2006/relationships/worksheet" Target="/xl/worksheets/sheet2.xml" Id="R514f37893f4740a9" /><Relationship Type="http://schemas.openxmlformats.org/officeDocument/2006/relationships/worksheet" Target="/xl/worksheets/sheet3.xml" Id="Rc2b07c091975411d" /><Relationship Type="http://schemas.openxmlformats.org/officeDocument/2006/relationships/worksheet" Target="/xl/worksheets/sheet4.xml" Id="R4b57bfeb7f28423d" /><Relationship Type="http://schemas.openxmlformats.org/officeDocument/2006/relationships/worksheet" Target="/xl/worksheets/sheet5.xml" Id="R7812c624a13c4308" /><Relationship Type="http://schemas.openxmlformats.org/officeDocument/2006/relationships/worksheet" Target="/xl/worksheets/sheet6.xml" Id="R9970e5650adc4a56" /><Relationship Type="http://schemas.openxmlformats.org/officeDocument/2006/relationships/worksheet" Target="/xl/worksheets/sheet7.xml" Id="R268dca64bec245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591cf6edb645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 das prestações — Price x SAC</a:t>
            </a:r>
          </a:p>
        </c:rich>
      </c:tx>
    </c:title>
    <c:plotArea>
      <c:lineChart>
        <c:grouping val="standard"/>
        <c:ser>
          <c:idx val="0"/>
          <c:order val="0"/>
          <c:tx>
            <c:v>Price — Prestação</c:v>
          </c:tx>
          <c:marker>
            <c:symbol val="none"/>
          </c:marker>
          <c:cat>
            <c:strRef>
              <c:f>'Ex6_Comparativo'!$D$4:$D$8</c:f>
              <c:strCache>
                <c:ptCount val="0"/>
              </c:strCache>
            </c:strRef>
          </c:cat>
          <c:val>
            <c:numRef>
              <c:f>'Ex6_Comparativo'!$E$4:$E$8</c:f>
              <c:numCache>
                <c:formatCode>R$ #,##0.00;[Red](R$ #,##0.00);-</c:formatCode>
                <c:ptCount val="0"/>
              </c:numCache>
            </c:numRef>
          </c:val>
        </c:ser>
        <c:ser>
          <c:idx val="1"/>
          <c:order val="1"/>
          <c:tx>
            <c:v>SAC — Prestação</c:v>
          </c:tx>
          <c:marker>
            <c:symbol val="none"/>
          </c:marker>
          <c:cat>
            <c:strRef>
              <c:f>'Ex6_Comparativo'!$D$4:$D$8</c:f>
              <c:strCache>
                <c:ptCount val="0"/>
              </c:strCache>
            </c:strRef>
          </c:cat>
          <c:val>
            <c:numRef>
              <c:f>'Ex6_Comparativo'!$F$4:$F$8</c:f>
              <c:numCache>
                <c:formatCode>R$ #,##0.00;[Red](R$ #,##0.00);-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591cf6edb6453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6bcb84c0bbc84dde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48" t="str">
        <x:v>Engenharia Econômica — Aula 5: Sistemas de Amortização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>
      <x:c r="A2" s="49" t="str">
        <x:v>Fonte: Engenharia Econômica - Aula 5 - Sistemas de Amortização.pdf — Prof. Dr. Octaviano Rojas Luiz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A4" s="27" t="str">
        <x:v>Conceitos centrais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A5" s="24" t="str">
        <x:v>Tema</x:v>
      </x:c>
      <x:c r="B5" s="24" t="str">
        <x:v>Ideia-chave</x:v>
      </x:c>
      <x:c r="C5" s="24" t="str">
        <x:v>Fórmula / regra</x:v>
      </x:c>
      <x:c r="D5" s="24" t="str">
        <x:v>Interpretação</x:v>
      </x:c>
      <x:c r="E5" s="26"/>
      <x:c r="F5" s="24" t="str">
        <x:v>Sistema</x:v>
      </x:c>
      <x:c r="G5" s="24" t="str">
        <x:v>Fluxo típico</x:v>
      </x:c>
      <x:c r="H5" s="24" t="str">
        <x:v>Característica</x:v>
      </x:c>
      <x:c r="I5" s="26"/>
      <x:c r="J5" s="26"/>
      <x:c r="K5" s="26"/>
    </x:row>
    <x:row r="6">
      <x:c r="A6" s="26" t="str">
        <x:v>Prestação</x:v>
      </x:c>
      <x:c r="B6" s="26" t="str">
        <x:v>Amortização + juros</x:v>
      </x:c>
      <x:c r="C6" s="26" t="str">
        <x:v>PMT = A + J</x:v>
      </x:c>
      <x:c r="D6" s="26" t="str">
        <x:v>Nem toda prestação reduz a dívida.</x:v>
      </x:c>
      <x:c r="E6" s="26"/>
      <x:c r="F6" s="26" t="str">
        <x:v>Pagamento Único</x:v>
      </x:c>
      <x:c r="G6" s="26" t="str">
        <x:v>Tudo no final</x:v>
      </x:c>
      <x:c r="H6" s="26" t="str">
        <x:v>Juros são incorporados ao saldo.</x:v>
      </x:c>
      <x:c r="I6" s="26"/>
      <x:c r="J6" s="26"/>
      <x:c r="K6" s="26"/>
    </x:row>
    <x:row r="7">
      <x:c r="A7" s="26" t="str">
        <x:v>Juros</x:v>
      </x:c>
      <x:c r="B7" s="26" t="str">
        <x:v>Incidem sobre o saldo anterior</x:v>
      </x:c>
      <x:c r="C7" s="26" t="str">
        <x:v>J_t = SD_(t-1) × i</x:v>
      </x:c>
      <x:c r="D7" s="26" t="str">
        <x:v>Saldo maior → juros maiores.</x:v>
      </x:c>
      <x:c r="E7" s="26"/>
      <x:c r="F7" s="26" t="str">
        <x:v>Americano (SAA)</x:v>
      </x:c>
      <x:c r="G7" s="26" t="str">
        <x:v>Juros periódicos + principal no fim</x:v>
      </x:c>
      <x:c r="H7" s="26" t="str">
        <x:v>Principal permanece até o último período.</x:v>
      </x:c>
      <x:c r="I7" s="26"/>
      <x:c r="J7" s="26"/>
      <x:c r="K7" s="26"/>
    </x:row>
    <x:row r="8">
      <x:c r="A8" s="26" t="str">
        <x:v>Saldo devedor</x:v>
      </x:c>
      <x:c r="B8" s="26" t="str">
        <x:v>Cai pela amortização</x:v>
      </x:c>
      <x:c r="C8" s="26" t="str">
        <x:v>SD_t = SD_(t-1) - A_t</x:v>
      </x:c>
      <x:c r="D8" s="26" t="str">
        <x:v>A amortização é o que reduz a dívida.</x:v>
      </x:c>
      <x:c r="E8" s="26"/>
      <x:c r="F8" s="26" t="str">
        <x:v>Price</x:v>
      </x:c>
      <x:c r="G8" s="26" t="str">
        <x:v>Prestações iguais</x:v>
      </x:c>
      <x:c r="H8" s="26" t="str">
        <x:v>Primeira parcela tende a ser menor que no SAC.</x:v>
      </x:c>
      <x:c r="I8" s="26"/>
      <x:c r="J8" s="26"/>
      <x:c r="K8" s="26"/>
    </x:row>
    <x:row r="9">
      <x:c r="A9" s="26" t="str">
        <x:v>Price</x:v>
      </x:c>
      <x:c r="B9" s="26" t="str">
        <x:v>Prestação constante</x:v>
      </x:c>
      <x:c r="C9" s="26" t="str">
        <x:v>PMT = PV × [i(1+i)^n]/[(1+i)^n-1]</x:v>
      </x:c>
      <x:c r="D9" s="26" t="str">
        <x:v>Juros caem; amortização cresce.</x:v>
      </x:c>
      <x:c r="E9" s="26"/>
      <x:c r="F9" s="26" t="str">
        <x:v>SAC</x:v>
      </x:c>
      <x:c r="G9" s="26" t="str">
        <x:v>Prestações decrescentes</x:v>
      </x:c>
      <x:c r="H9" s="26" t="str">
        <x:v>Amortiza a dívida mais rapidamente.</x:v>
      </x:c>
      <x:c r="I9" s="26"/>
      <x:c r="J9" s="26"/>
      <x:c r="K9" s="26"/>
    </x:row>
    <x:row r="10">
      <x:c r="A10" s="26" t="str">
        <x:v>SAC</x:v>
      </x:c>
      <x:c r="B10" s="26" t="str">
        <x:v>Amortização constante</x:v>
      </x:c>
      <x:c r="C10" s="26" t="str">
        <x:v>A = PV/n</x:v>
      </x:c>
      <x:c r="D10" s="26" t="str">
        <x:v>Juros e prestações caem ao longo do tempo.</x:v>
      </x:c>
      <x:c r="E10" s="26"/>
      <x:c r="F10" s="26"/>
      <x:c r="G10" s="26"/>
      <x:c r="H10" s="26"/>
      <x:c r="I10" s="26"/>
      <x:c r="J10" s="26"/>
      <x:c r="K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</x:row>
    <x:row r="12">
      <x:c r="A12" s="27" t="str">
        <x:v>Respostas dos exercícios 1 a 6</x:v>
      </x:c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</x:row>
    <x:row r="13">
      <x:c r="A13" s="24" t="str">
        <x:v>Ex.</x:v>
      </x:c>
      <x:c r="B13" s="24" t="str">
        <x:v>Tema</x:v>
      </x:c>
      <x:c r="C13" s="24" t="str">
        <x:v>Resultado 1</x:v>
      </x:c>
      <x:c r="D13" s="24" t="str">
        <x:v>Valor 1</x:v>
      </x:c>
      <x:c r="E13" s="24" t="str">
        <x:v>Resultado 2</x:v>
      </x:c>
      <x:c r="F13" s="24" t="str">
        <x:v>Valor 2</x:v>
      </x:c>
      <x:c r="G13" s="24" t="str">
        <x:v>Decisão / observação</x:v>
      </x:c>
      <x:c r="H13" s="24" t="str">
        <x:v>Planilha</x:v>
      </x:c>
      <x:c r="I13" s="26"/>
      <x:c r="J13" s="26"/>
      <x:c r="K13" s="26"/>
    </x:row>
    <x:row r="14">
      <x:c r="A14" s="26" t="n">
        <x:v>1</x:v>
      </x:c>
      <x:c r="B14" s="26" t="str">
        <x:v>Pagamento único</x:v>
      </x:c>
      <x:c r="C14" s="26" t="str">
        <x:v>Juros no mês 2</x:v>
      </x:c>
      <x:c r="D14" s="46" t="n">
        <x:f>'Ex1_PagUnico'!B13</x:f>
        <x:v>505</x:v>
      </x:c>
      <x:c r="E14" s="26" t="str">
        <x:v>Resgate final</x:v>
      </x:c>
      <x:c r="F14" s="46" t="n">
        <x:f>'Ex1_PagUnico'!B14</x:f>
        <x:v>51005</x:v>
      </x:c>
      <x:c r="G14" s="26" t="str">
        <x:v>Juros compostos até o resgate</x:v>
      </x:c>
      <x:c r="H14" s="26" t="str">
        <x:v>Ex1_PagUnico</x:v>
      </x:c>
      <x:c r="I14" s="26"/>
      <x:c r="J14" s="26"/>
      <x:c r="K14" s="26"/>
    </x:row>
    <x:row r="15">
      <x:c r="A15" s="26" t="n">
        <x:v>2</x:v>
      </x:c>
      <x:c r="B15" s="26" t="str">
        <x:v>Sistema Americano</x:v>
      </x:c>
      <x:c r="C15" s="26" t="str">
        <x:v>Prestação anos 1–4</x:v>
      </x:c>
      <x:c r="D15" s="46" t="n">
        <x:f>'Ex2_SAA'!B16</x:f>
        <x:v>50000</x:v>
      </x:c>
      <x:c r="E15" s="26" t="str">
        <x:v>Prestação ano 5</x:v>
      </x:c>
      <x:c r="F15" s="46" t="n">
        <x:f>'Ex2_SAA'!B17</x:f>
        <x:v>550000</x:v>
      </x:c>
      <x:c r="G15" s="26" t="str">
        <x:v>Principal quitado no 5º ano</x:v>
      </x:c>
      <x:c r="H15" s="26" t="str">
        <x:v>Ex2_SAA</x:v>
      </x:c>
      <x:c r="I15" s="26"/>
      <x:c r="J15" s="26"/>
      <x:c r="K15" s="26"/>
    </x:row>
    <x:row r="16">
      <x:c r="A16" s="26" t="n">
        <x:v>3</x:v>
      </x:c>
      <x:c r="B16" s="26" t="str">
        <x:v>Tabela Price</x:v>
      </x:c>
      <x:c r="C16" s="26" t="str">
        <x:v>Prestação constante</x:v>
      </x:c>
      <x:c r="D16" s="46" t="n">
        <x:f>'Ex3_Price'!B7</x:f>
        <x:v>2626.237526712876</x:v>
      </x:c>
      <x:c r="E16" s="26" t="str">
        <x:v>Saldo final</x:v>
      </x:c>
      <x:c r="F16" s="46" t="n">
        <x:f>'Ex3_Price'!B16</x:f>
        <x:v>-2.2737367544323206e-12</x:v>
      </x:c>
      <x:c r="G16" s="26" t="str">
        <x:v>Tabela completa em 4 parcelas</x:v>
      </x:c>
      <x:c r="H16" s="26" t="str">
        <x:v>Ex3_Price</x:v>
      </x:c>
      <x:c r="I16" s="26"/>
      <x:c r="J16" s="26"/>
      <x:c r="K16" s="26"/>
    </x:row>
    <x:row r="17">
      <x:c r="A17" s="26" t="n">
        <x:v>4</x:v>
      </x:c>
      <x:c r="B17" s="26" t="str">
        <x:v>Price — 37ª parcela</x:v>
      </x:c>
      <x:c r="C17" s="26" t="str">
        <x:v>Juros na 37ª</x:v>
      </x:c>
      <x:c r="D17" s="46" t="n">
        <x:f>'Ex4_Price_37'!B12</x:f>
        <x:v>1429.6167975774986</x:v>
      </x:c>
      <x:c r="E17" s="26" t="str">
        <x:v>Amortização na 37ª</x:v>
      </x:c>
      <x:c r="F17" s="46" t="n">
        <x:f>'Ex4_Price_37'!B13</x:f>
        <x:v>334.2309532891402</x:v>
      </x:c>
      <x:c r="G17" s="26" t="str">
        <x:v>Usa SD após 36 parcelas</x:v>
      </x:c>
      <x:c r="H17" s="26" t="str">
        <x:v>Ex4_Price_37</x:v>
      </x:c>
      <x:c r="I17" s="26"/>
      <x:c r="J17" s="26"/>
      <x:c r="K17" s="26"/>
    </x:row>
    <x:row r="18">
      <x:c r="A18" s="26" t="n">
        <x:v>5</x:v>
      </x:c>
      <x:c r="B18" s="26" t="str">
        <x:v>SAC</x:v>
      </x:c>
      <x:c r="C18" s="26" t="str">
        <x:v>Saldo devedor mês 15</x:v>
      </x:c>
      <x:c r="D18" s="46" t="n">
        <x:f>'Ex5_SAC'!B9</x:f>
        <x:v>180000</x:v>
      </x:c>
      <x:c r="E18" s="26" t="str">
        <x:v>Prestação nº 16</x:v>
      </x:c>
      <x:c r="F18" s="46" t="n">
        <x:f>'Ex5_SAC'!B12</x:f>
        <x:v>7600</x:v>
      </x:c>
      <x:c r="G18" s="26" t="str">
        <x:v>Amortização fixa de R$ 4.000</x:v>
      </x:c>
      <x:c r="H18" s="26" t="str">
        <x:v>Ex5_SAC</x:v>
      </x:c>
      <x:c r="I18" s="26"/>
      <x:c r="J18" s="26"/>
      <x:c r="K18" s="26"/>
    </x:row>
    <x:row r="19">
      <x:c r="A19" s="26" t="n">
        <x:v>6</x:v>
      </x:c>
      <x:c r="B19" s="26" t="str">
        <x:v>Price x SAC</x:v>
      </x:c>
      <x:c r="C19" s="26" t="str">
        <x:v>1ª parcela Price</x:v>
      </x:c>
      <x:c r="D19" s="46" t="n">
        <x:f>'Ex6_Comparativo'!B8</x:f>
        <x:v>263797.4807947452</x:v>
      </x:c>
      <x:c r="E19" s="26" t="str">
        <x:v>1ª parcela SAC</x:v>
      </x:c>
      <x:c r="F19" s="46" t="n">
        <x:f>'Ex6_Comparativo'!B13</x:f>
        <x:v>300000</x:v>
      </x:c>
      <x:c r="G19" s="26" t="str">
        <x:v>Escolher Price para menor desembolso inicial</x:v>
      </x:c>
      <x:c r="H19" s="26" t="str">
        <x:v>Ex6_Comparativo</x:v>
      </x:c>
      <x:c r="I19" s="26"/>
      <x:c r="J19" s="26"/>
      <x:c r="K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</x:row>
  </x:sheetData>
  <x:mergeCells>
    <x:mergeCell ref="A1:H1"/>
    <x:mergeCell ref="A2:H2"/>
    <x:mergeCell ref="A4:H4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48" t="str">
        <x:v>Exercício 1 — Pagamento Único / CDB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A3" s="24" t="str">
        <x:v>Entrada</x:v>
      </x:c>
      <x:c r="B3" s="24" t="str">
        <x:v>Valor</x:v>
      </x:c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A4" s="26" t="str">
        <x:v>Capital inicial (PV)</x:v>
      </x:c>
      <x:c r="B4" s="52" t="n">
        <x:v>50000</x:v>
      </x:c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A5" s="26" t="str">
        <x:v>Taxa mensal (i)</x:v>
      </x:c>
      <x:c r="B5" s="53" t="n">
        <x:v>0.01</x:v>
      </x:c>
      <x:c r="C5" s="26"/>
      <x:c r="D5" s="26"/>
      <x:c r="E5" s="26"/>
      <x:c r="F5" s="26"/>
      <x:c r="G5" s="26"/>
      <x:c r="H5" s="26"/>
      <x:c r="I5" s="26"/>
      <x:c r="J5" s="26"/>
      <x:c r="K5" s="26"/>
    </x:row>
    <x:row r="6">
      <x:c r="A6" s="26" t="str">
        <x:v>Prazo (meses)</x:v>
      </x:c>
      <x:c r="B6" s="54" t="n">
        <x:v>2</x:v>
      </x:c>
      <x:c r="C6" s="26"/>
      <x:c r="D6" s="26"/>
      <x:c r="E6" s="26"/>
      <x:c r="F6" s="26"/>
      <x:c r="G6" s="26"/>
      <x:c r="H6" s="26"/>
      <x:c r="I6" s="26"/>
      <x:c r="J6" s="26"/>
      <x:c r="K6" s="26"/>
    </x:row>
    <x:row r="7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</x:row>
    <x:row r="8">
      <x:c r="A8" s="24" t="str">
        <x:v>Mês</x:v>
      </x:c>
      <x:c r="B8" s="24" t="str">
        <x:v>Saldo inicial</x:v>
      </x:c>
      <x:c r="C8" s="24" t="str">
        <x:v>Juros</x:v>
      </x:c>
      <x:c r="D8" s="24" t="str">
        <x:v>Saldo após juros</x:v>
      </x:c>
      <x:c r="E8" s="24" t="str">
        <x:v>Resgate</x:v>
      </x:c>
      <x:c r="F8" s="26"/>
      <x:c r="G8" s="26"/>
      <x:c r="H8" s="26"/>
      <x:c r="I8" s="26"/>
      <x:c r="J8" s="26"/>
      <x:c r="K8" s="26"/>
    </x:row>
    <x:row r="9">
      <x:c r="A9" s="26" t="n">
        <x:v>1</x:v>
      </x:c>
      <x:c r="B9" s="55" t="n">
        <x:f>$B$4</x:f>
        <x:v>50000</x:v>
      </x:c>
      <x:c r="C9" s="55" t="n">
        <x:f>B9*$B$5</x:f>
        <x:v>500</x:v>
      </x:c>
      <x:c r="D9" s="55" t="n">
        <x:f>B9+C9</x:f>
        <x:v>50500</x:v>
      </x:c>
      <x:c r="E9" s="55" t="n">
        <x:v>0</x:v>
      </x:c>
      <x:c r="F9" s="26"/>
      <x:c r="G9" s="26"/>
      <x:c r="H9" s="26"/>
      <x:c r="I9" s="26"/>
      <x:c r="J9" s="26"/>
      <x:c r="K9" s="26"/>
    </x:row>
    <x:row r="10">
      <x:c r="A10" s="26" t="n">
        <x:v>2</x:v>
      </x:c>
      <x:c r="B10" s="55" t="n">
        <x:f>D9</x:f>
        <x:v>50500</x:v>
      </x:c>
      <x:c r="C10" s="55" t="n">
        <x:f>B10*$B$5</x:f>
        <x:v>505</x:v>
      </x:c>
      <x:c r="D10" s="55" t="n">
        <x:f>B10+C10</x:f>
        <x:v>51005</x:v>
      </x:c>
      <x:c r="E10" s="55" t="n">
        <x:f>D10</x:f>
        <x:v>51005</x:v>
      </x:c>
      <x:c r="F10" s="26"/>
      <x:c r="G10" s="26"/>
      <x:c r="H10" s="26"/>
      <x:c r="I10" s="26"/>
      <x:c r="J10" s="26"/>
      <x:c r="K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</x:row>
    <x:row r="12">
      <x:c r="A12" s="24" t="str">
        <x:v>Indicador</x:v>
      </x:c>
      <x:c r="B12" s="24" t="str">
        <x:v>Valor</x:v>
      </x:c>
      <x:c r="C12" s="26"/>
      <x:c r="D12" s="26"/>
      <x:c r="E12" s="26"/>
      <x:c r="F12" s="26"/>
      <x:c r="G12" s="26"/>
      <x:c r="H12" s="26"/>
      <x:c r="I12" s="26"/>
      <x:c r="J12" s="26"/>
      <x:c r="K12" s="26"/>
    </x:row>
    <x:row r="13">
      <x:c r="A13" s="26" t="str">
        <x:v>Juros do mês 2</x:v>
      </x:c>
      <x:c r="B13" s="55" t="n">
        <x:f>C10</x:f>
        <x:v>505</x:v>
      </x:c>
      <x:c r="C13" s="26"/>
      <x:c r="D13" s="26"/>
      <x:c r="E13" s="26"/>
      <x:c r="F13" s="26"/>
      <x:c r="G13" s="26"/>
      <x:c r="H13" s="26"/>
      <x:c r="I13" s="26"/>
      <x:c r="J13" s="26"/>
      <x:c r="K13" s="26"/>
    </x:row>
    <x:row r="14">
      <x:c r="A14" s="26" t="str">
        <x:v>Resgate final</x:v>
      </x:c>
      <x:c r="B14" s="55" t="n">
        <x:f>D10</x:f>
        <x:v>51005</x:v>
      </x:c>
      <x:c r="C14" s="26"/>
      <x:c r="D14" s="26"/>
      <x:c r="E14" s="26"/>
      <x:c r="F14" s="26"/>
      <x:c r="G14" s="26"/>
      <x:c r="H14" s="26"/>
      <x:c r="I14" s="26"/>
      <x:c r="J14" s="26"/>
      <x:c r="K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48" t="str">
        <x:v>Exercício 2 — Sistema Americano de Amortização (SAA)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A3" s="24" t="str">
        <x:v>Entrada</x:v>
      </x:c>
      <x:c r="B3" s="24" t="str">
        <x:v>Valor</x:v>
      </x:c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A4" s="26" t="str">
        <x:v>Principal</x:v>
      </x:c>
      <x:c r="B4" s="52" t="n">
        <x:v>500000</x:v>
      </x:c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A5" s="26" t="str">
        <x:v>Taxa anual</x:v>
      </x:c>
      <x:c r="B5" s="53" t="n">
        <x:v>0.1</x:v>
      </x:c>
      <x:c r="C5" s="26"/>
      <x:c r="D5" s="26"/>
      <x:c r="E5" s="26"/>
      <x:c r="F5" s="26"/>
      <x:c r="G5" s="26"/>
      <x:c r="H5" s="26"/>
      <x:c r="I5" s="26"/>
      <x:c r="J5" s="26"/>
      <x:c r="K5" s="26"/>
    </x:row>
    <x:row r="6">
      <x:c r="A6" s="26" t="str">
        <x:v>Prazo (anos)</x:v>
      </x:c>
      <x:c r="B6" s="54" t="n">
        <x:v>5</x:v>
      </x:c>
      <x:c r="C6" s="26"/>
      <x:c r="D6" s="26"/>
      <x:c r="E6" s="26"/>
      <x:c r="F6" s="26"/>
      <x:c r="G6" s="26"/>
      <x:c r="H6" s="26"/>
      <x:c r="I6" s="26"/>
      <x:c r="J6" s="26"/>
      <x:c r="K6" s="26"/>
    </x:row>
    <x:row r="7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</x:row>
    <x:row r="8">
      <x:c r="A8" s="24" t="str">
        <x:v>Ano</x:v>
      </x:c>
      <x:c r="B8" s="24" t="str">
        <x:v>Saldo inicial</x:v>
      </x:c>
      <x:c r="C8" s="24" t="str">
        <x:v>Juros</x:v>
      </x:c>
      <x:c r="D8" s="24" t="str">
        <x:v>Amortização</x:v>
      </x:c>
      <x:c r="E8" s="24" t="str">
        <x:v>Prestação</x:v>
      </x:c>
      <x:c r="F8" s="24" t="str">
        <x:v>Saldo final</x:v>
      </x:c>
      <x:c r="G8" s="26"/>
      <x:c r="H8" s="26"/>
      <x:c r="I8" s="26"/>
      <x:c r="J8" s="26"/>
      <x:c r="K8" s="26"/>
    </x:row>
    <x:row r="9">
      <x:c r="A9" s="26" t="n">
        <x:v>1</x:v>
      </x:c>
      <x:c r="B9" s="55" t="n">
        <x:f>$B$4</x:f>
        <x:v>500000</x:v>
      </x:c>
      <x:c r="C9" s="55" t="n">
        <x:f>B9*$B$5</x:f>
        <x:v>50000</x:v>
      </x:c>
      <x:c r="D9" s="55" t="n">
        <x:f>IF(A9=$B$6,$B$4,0)</x:f>
        <x:v>0</x:v>
      </x:c>
      <x:c r="E9" s="55" t="n">
        <x:f>C9+D9</x:f>
        <x:v>50000</x:v>
      </x:c>
      <x:c r="F9" s="55" t="n">
        <x:f>B9-D9</x:f>
        <x:v>500000</x:v>
      </x:c>
      <x:c r="G9" s="26"/>
      <x:c r="H9" s="26"/>
      <x:c r="I9" s="26"/>
      <x:c r="J9" s="26"/>
      <x:c r="K9" s="26"/>
    </x:row>
    <x:row r="10">
      <x:c r="A10" s="26" t="n">
        <x:v>2</x:v>
      </x:c>
      <x:c r="B10" s="55" t="n">
        <x:f>F9</x:f>
        <x:v>500000</x:v>
      </x:c>
      <x:c r="C10" s="55" t="n">
        <x:f>B10*$B$5</x:f>
        <x:v>50000</x:v>
      </x:c>
      <x:c r="D10" s="55" t="n">
        <x:f>IF(A10=$B$6,$B$4,0)</x:f>
        <x:v>0</x:v>
      </x:c>
      <x:c r="E10" s="55" t="n">
        <x:f>C10+D10</x:f>
        <x:v>50000</x:v>
      </x:c>
      <x:c r="F10" s="55" t="n">
        <x:f>B10-D10</x:f>
        <x:v>500000</x:v>
      </x:c>
      <x:c r="G10" s="26"/>
      <x:c r="H10" s="26"/>
      <x:c r="I10" s="26"/>
      <x:c r="J10" s="26"/>
      <x:c r="K10" s="26"/>
    </x:row>
    <x:row r="11">
      <x:c r="A11" s="26" t="n">
        <x:v>3</x:v>
      </x:c>
      <x:c r="B11" s="55" t="n">
        <x:f>F10</x:f>
        <x:v>500000</x:v>
      </x:c>
      <x:c r="C11" s="55" t="n">
        <x:f>B11*$B$5</x:f>
        <x:v>50000</x:v>
      </x:c>
      <x:c r="D11" s="55" t="n">
        <x:f>IF(A11=$B$6,$B$4,0)</x:f>
        <x:v>0</x:v>
      </x:c>
      <x:c r="E11" s="55" t="n">
        <x:f>C11+D11</x:f>
        <x:v>50000</x:v>
      </x:c>
      <x:c r="F11" s="55" t="n">
        <x:f>B11-D11</x:f>
        <x:v>500000</x:v>
      </x:c>
      <x:c r="G11" s="26"/>
      <x:c r="H11" s="26"/>
      <x:c r="I11" s="26"/>
      <x:c r="J11" s="26"/>
      <x:c r="K11" s="26"/>
    </x:row>
    <x:row r="12">
      <x:c r="A12" s="26" t="n">
        <x:v>4</x:v>
      </x:c>
      <x:c r="B12" s="55" t="n">
        <x:f>F11</x:f>
        <x:v>500000</x:v>
      </x:c>
      <x:c r="C12" s="55" t="n">
        <x:f>B12*$B$5</x:f>
        <x:v>50000</x:v>
      </x:c>
      <x:c r="D12" s="55" t="n">
        <x:f>IF(A12=$B$6,$B$4,0)</x:f>
        <x:v>0</x:v>
      </x:c>
      <x:c r="E12" s="55" t="n">
        <x:f>C12+D12</x:f>
        <x:v>50000</x:v>
      </x:c>
      <x:c r="F12" s="55" t="n">
        <x:f>B12-D12</x:f>
        <x:v>500000</x:v>
      </x:c>
      <x:c r="G12" s="26"/>
      <x:c r="H12" s="26"/>
      <x:c r="I12" s="26"/>
      <x:c r="J12" s="26"/>
      <x:c r="K12" s="26"/>
    </x:row>
    <x:row r="13">
      <x:c r="A13" s="26" t="n">
        <x:v>5</x:v>
      </x:c>
      <x:c r="B13" s="55" t="n">
        <x:f>F12</x:f>
        <x:v>500000</x:v>
      </x:c>
      <x:c r="C13" s="55" t="n">
        <x:f>B13*$B$5</x:f>
        <x:v>50000</x:v>
      </x:c>
      <x:c r="D13" s="55" t="n">
        <x:f>IF(A13=$B$6,$B$4,0)</x:f>
        <x:v>500000</x:v>
      </x:c>
      <x:c r="E13" s="55" t="n">
        <x:f>C13+D13</x:f>
        <x:v>550000</x:v>
      </x:c>
      <x:c r="F13" s="55" t="n">
        <x:f>B13-D13</x:f>
        <x:v>0</x:v>
      </x:c>
      <x:c r="G13" s="26"/>
      <x:c r="H13" s="26"/>
      <x:c r="I13" s="26"/>
      <x:c r="J13" s="26"/>
      <x:c r="K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</x:row>
    <x:row r="15">
      <x:c r="A15" s="24" t="str">
        <x:v>Indicador</x:v>
      </x:c>
      <x:c r="B15" s="24" t="str">
        <x:v>Valor</x:v>
      </x:c>
      <x:c r="C15" s="26"/>
      <x:c r="D15" s="26"/>
      <x:c r="E15" s="26"/>
      <x:c r="F15" s="26"/>
      <x:c r="G15" s="26"/>
      <x:c r="H15" s="26"/>
      <x:c r="I15" s="26"/>
      <x:c r="J15" s="26"/>
      <x:c r="K15" s="26"/>
    </x:row>
    <x:row r="16">
      <x:c r="A16" s="26" t="str">
        <x:v>Prestação anos 1–4</x:v>
      </x:c>
      <x:c r="B16" s="55" t="n">
        <x:f>E9</x:f>
        <x:v>50000</x:v>
      </x:c>
      <x:c r="C16" s="26"/>
      <x:c r="D16" s="26"/>
      <x:c r="E16" s="26"/>
      <x:c r="F16" s="26"/>
      <x:c r="G16" s="26"/>
      <x:c r="H16" s="26"/>
      <x:c r="I16" s="26"/>
      <x:c r="J16" s="26"/>
      <x:c r="K16" s="26"/>
    </x:row>
    <x:row r="17">
      <x:c r="A17" s="26" t="str">
        <x:v>Prestação ano 5</x:v>
      </x:c>
      <x:c r="B17" s="55" t="n">
        <x:f>E13</x:f>
        <x:v>550000</x:v>
      </x:c>
      <x:c r="C17" s="26"/>
      <x:c r="D17" s="26"/>
      <x:c r="E17" s="26"/>
      <x:c r="F17" s="26"/>
      <x:c r="G17" s="26"/>
      <x:c r="H17" s="26"/>
      <x:c r="I17" s="26"/>
      <x:c r="J17" s="26"/>
      <x:c r="K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48" t="str">
        <x:v>Exercício 3 — Tabela Price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A3" s="24" t="str">
        <x:v>Entrada / cálculo</x:v>
      </x:c>
      <x:c r="B3" s="24" t="str">
        <x:v>Valor</x:v>
      </x:c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A4" s="26" t="str">
        <x:v>Valor financiado (PV)</x:v>
      </x:c>
      <x:c r="B4" s="52" t="n">
        <x:v>10000</x:v>
      </x:c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A5" s="26" t="str">
        <x:v>Taxa mensal (i)</x:v>
      </x:c>
      <x:c r="B5" s="53" t="n">
        <x:v>0.02</x:v>
      </x:c>
      <x:c r="C5" s="26"/>
      <x:c r="D5" s="26"/>
      <x:c r="E5" s="26"/>
      <x:c r="F5" s="26"/>
      <x:c r="G5" s="26"/>
      <x:c r="H5" s="26"/>
      <x:c r="I5" s="26"/>
      <x:c r="J5" s="26"/>
      <x:c r="K5" s="26"/>
    </x:row>
    <x:row r="6">
      <x:c r="A6" s="26" t="str">
        <x:v>Número de parcelas (n)</x:v>
      </x:c>
      <x:c r="B6" s="54" t="n">
        <x:v>4</x:v>
      </x:c>
      <x:c r="C6" s="26"/>
      <x:c r="D6" s="26"/>
      <x:c r="E6" s="26"/>
      <x:c r="F6" s="26"/>
      <x:c r="G6" s="26"/>
      <x:c r="H6" s="26"/>
      <x:c r="I6" s="26"/>
      <x:c r="J6" s="26"/>
      <x:c r="K6" s="26"/>
    </x:row>
    <x:row r="7">
      <x:c r="A7" s="26" t="str">
        <x:v>Prestação (PMT)</x:v>
      </x:c>
      <x:c r="B7" s="55" t="n">
        <x:f>B4*(B5*(1+B5)^B6)/((1+B5)^B6-1)</x:f>
        <x:v>2626.237526712876</x:v>
      </x:c>
      <x:c r="C7" s="26"/>
      <x:c r="D7" s="26"/>
      <x:c r="E7" s="26"/>
      <x:c r="F7" s="26"/>
      <x:c r="G7" s="26"/>
      <x:c r="H7" s="26"/>
      <x:c r="I7" s="26"/>
      <x:c r="J7" s="26"/>
      <x:c r="K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</x:row>
    <x:row r="9">
      <x:c r="A9" s="24" t="str">
        <x:v>Mês</x:v>
      </x:c>
      <x:c r="B9" s="24" t="str">
        <x:v>Saldo inicial</x:v>
      </x:c>
      <x:c r="C9" s="24" t="str">
        <x:v>Juros</x:v>
      </x:c>
      <x:c r="D9" s="24" t="str">
        <x:v>Amortização</x:v>
      </x:c>
      <x:c r="E9" s="24" t="str">
        <x:v>Prestação</x:v>
      </x:c>
      <x:c r="F9" s="24" t="str">
        <x:v>Saldo final</x:v>
      </x:c>
      <x:c r="G9" s="26"/>
      <x:c r="H9" s="26"/>
      <x:c r="I9" s="26"/>
      <x:c r="J9" s="26"/>
      <x:c r="K9" s="26"/>
    </x:row>
    <x:row r="10">
      <x:c r="A10" s="26" t="n">
        <x:v>1</x:v>
      </x:c>
      <x:c r="B10" s="55" t="n">
        <x:f>$B$4</x:f>
        <x:v>10000</x:v>
      </x:c>
      <x:c r="C10" s="55" t="n">
        <x:f>B10*$B$5</x:f>
        <x:v>200</x:v>
      </x:c>
      <x:c r="D10" s="55" t="n">
        <x:f>$B$7-C10</x:f>
        <x:v>2426.237526712876</x:v>
      </x:c>
      <x:c r="E10" s="55" t="n">
        <x:f>$B$7</x:f>
        <x:v>2626.237526712876</x:v>
      </x:c>
      <x:c r="F10" s="55" t="n">
        <x:f>B10-D10</x:f>
        <x:v>7573.7624732871245</x:v>
      </x:c>
      <x:c r="G10" s="26"/>
      <x:c r="H10" s="26"/>
      <x:c r="I10" s="26"/>
      <x:c r="J10" s="26"/>
      <x:c r="K10" s="26"/>
    </x:row>
    <x:row r="11">
      <x:c r="A11" s="26" t="n">
        <x:v>2</x:v>
      </x:c>
      <x:c r="B11" s="55" t="n">
        <x:f>F10</x:f>
        <x:v>7573.7624732871245</x:v>
      </x:c>
      <x:c r="C11" s="55" t="n">
        <x:f>B11*$B$5</x:f>
        <x:v>151.4752494657425</x:v>
      </x:c>
      <x:c r="D11" s="55" t="n">
        <x:f>$B$7-C11</x:f>
        <x:v>2474.7622772471336</x:v>
      </x:c>
      <x:c r="E11" s="55" t="n">
        <x:f>$B$7</x:f>
        <x:v>2626.237526712876</x:v>
      </x:c>
      <x:c r="F11" s="55" t="n">
        <x:f>B11-D11</x:f>
        <x:v>5099.000196039991</x:v>
      </x:c>
      <x:c r="G11" s="26"/>
      <x:c r="H11" s="26"/>
      <x:c r="I11" s="26"/>
      <x:c r="J11" s="26"/>
      <x:c r="K11" s="26"/>
    </x:row>
    <x:row r="12">
      <x:c r="A12" s="26" t="n">
        <x:v>3</x:v>
      </x:c>
      <x:c r="B12" s="55" t="n">
        <x:f>F11</x:f>
        <x:v>5099.000196039991</x:v>
      </x:c>
      <x:c r="C12" s="55" t="n">
        <x:f>B12*$B$5</x:f>
        <x:v>101.98000392079983</x:v>
      </x:c>
      <x:c r="D12" s="55" t="n">
        <x:f>$B$7-C12</x:f>
        <x:v>2524.257522792076</x:v>
      </x:c>
      <x:c r="E12" s="55" t="n">
        <x:f>$B$7</x:f>
        <x:v>2626.237526712876</x:v>
      </x:c>
      <x:c r="F12" s="55" t="n">
        <x:f>B12-D12</x:f>
        <x:v>2574.7426732479153</x:v>
      </x:c>
      <x:c r="G12" s="26"/>
      <x:c r="H12" s="26"/>
      <x:c r="I12" s="26"/>
      <x:c r="J12" s="26"/>
      <x:c r="K12" s="26"/>
    </x:row>
    <x:row r="13">
      <x:c r="A13" s="26" t="n">
        <x:v>4</x:v>
      </x:c>
      <x:c r="B13" s="55" t="n">
        <x:f>F12</x:f>
        <x:v>2574.7426732479153</x:v>
      </x:c>
      <x:c r="C13" s="55" t="n">
        <x:f>B13*$B$5</x:f>
        <x:v>51.494853464958304</x:v>
      </x:c>
      <x:c r="D13" s="55" t="n">
        <x:f>$B$7-C13</x:f>
        <x:v>2574.7426732479175</x:v>
      </x:c>
      <x:c r="E13" s="55" t="n">
        <x:f>$B$7</x:f>
        <x:v>2626.237526712876</x:v>
      </x:c>
      <x:c r="F13" s="55" t="n">
        <x:f>B13-D13</x:f>
        <x:v>-2.2737367544323206e-12</x:v>
      </x:c>
      <x:c r="G13" s="26"/>
      <x:c r="H13" s="26"/>
      <x:c r="I13" s="26"/>
      <x:c r="J13" s="26"/>
      <x:c r="K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</x:row>
    <x:row r="15">
      <x:c r="A15" s="24" t="str">
        <x:v>Indicador</x:v>
      </x:c>
      <x:c r="B15" s="24" t="str">
        <x:v>Valor</x:v>
      </x:c>
      <x:c r="C15" s="26"/>
      <x:c r="D15" s="26"/>
      <x:c r="E15" s="26"/>
      <x:c r="F15" s="26"/>
      <x:c r="G15" s="26"/>
      <x:c r="H15" s="26"/>
      <x:c r="I15" s="26"/>
      <x:c r="J15" s="26"/>
      <x:c r="K15" s="26"/>
    </x:row>
    <x:row r="16">
      <x:c r="A16" s="26" t="str">
        <x:v>Saldo final</x:v>
      </x:c>
      <x:c r="B16" s="55" t="n">
        <x:f>F13</x:f>
        <x:v>-2.2737367544323206e-12</x:v>
      </x:c>
      <x:c r="C16" s="26"/>
      <x:c r="D16" s="26"/>
      <x:c r="E16" s="26"/>
      <x:c r="F16" s="26"/>
      <x:c r="G16" s="26"/>
      <x:c r="H16" s="26"/>
      <x:c r="I16" s="26"/>
      <x:c r="J16" s="26"/>
      <x:c r="K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48" t="str">
        <x:v>Exercício 4 — Juros e Amortização da 37ª Parcela (Price)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A3" s="24" t="str">
        <x:v>Entrada / cálculo</x:v>
      </x:c>
      <x:c r="B3" s="24" t="str">
        <x:v>Valor</x:v>
      </x:c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A4" s="26" t="str">
        <x:v>Valor financiado (PV)</x:v>
      </x:c>
      <x:c r="B4" s="52" t="n">
        <x:v>80000</x:v>
      </x:c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A5" s="26" t="str">
        <x:v>Taxa mensal (i)</x:v>
      </x:c>
      <x:c r="B5" s="53" t="n">
        <x:v>0.02</x:v>
      </x:c>
      <x:c r="C5" s="26"/>
      <x:c r="D5" s="26"/>
      <x:c r="E5" s="26"/>
      <x:c r="F5" s="26"/>
      <x:c r="G5" s="26"/>
      <x:c r="H5" s="26"/>
      <x:c r="I5" s="26"/>
      <x:c r="J5" s="26"/>
      <x:c r="K5" s="26"/>
    </x:row>
    <x:row r="6">
      <x:c r="A6" s="26" t="str">
        <x:v>Prazo total (n)</x:v>
      </x:c>
      <x:c r="B6" s="54" t="n">
        <x:v>120</x:v>
      </x:c>
      <x:c r="C6" s="26"/>
      <x:c r="D6" s="26"/>
      <x:c r="E6" s="26"/>
      <x:c r="F6" s="26"/>
      <x:c r="G6" s="26"/>
      <x:c r="H6" s="26"/>
      <x:c r="I6" s="26"/>
      <x:c r="J6" s="26"/>
      <x:c r="K6" s="26"/>
    </x:row>
    <x:row r="7">
      <x:c r="A7" s="26" t="str">
        <x:v>Parcela analisada</x:v>
      </x:c>
      <x:c r="B7" s="54" t="n">
        <x:v>37</x:v>
      </x:c>
      <x:c r="C7" s="26"/>
      <x:c r="D7" s="26"/>
      <x:c r="E7" s="26"/>
      <x:c r="F7" s="26"/>
      <x:c r="G7" s="26"/>
      <x:c r="H7" s="26"/>
      <x:c r="I7" s="26"/>
      <x:c r="J7" s="26"/>
      <x:c r="K7" s="26"/>
    </x:row>
    <x:row r="8">
      <x:c r="A8" s="26" t="str">
        <x:v>Prestação (PMT)</x:v>
      </x:c>
      <x:c r="B8" s="55" t="n">
        <x:f>B4*(B5*(1+B5)^B6)/((1+B5)^B6-1)</x:f>
        <x:v>1763.8477508666388</x:v>
      </x:c>
      <x:c r="C8" s="26"/>
      <x:c r="D8" s="26"/>
      <x:c r="E8" s="26"/>
      <x:c r="F8" s="26"/>
      <x:c r="G8" s="26"/>
      <x:c r="H8" s="26"/>
      <x:c r="I8" s="26"/>
      <x:c r="J8" s="26"/>
      <x:c r="K8" s="26"/>
    </x:row>
    <x:row r="9">
      <x:c r="A9" s="26" t="str">
        <x:v>Parcelas já pagas antes da 37ª</x:v>
      </x:c>
      <x:c r="B9" s="54" t="n">
        <x:v>36</x:v>
      </x:c>
      <x:c r="C9" s="26"/>
      <x:c r="D9" s="26"/>
      <x:c r="E9" s="26"/>
      <x:c r="F9" s="26"/>
      <x:c r="G9" s="26"/>
      <x:c r="H9" s="26"/>
      <x:c r="I9" s="26"/>
      <x:c r="J9" s="26"/>
      <x:c r="K9" s="26"/>
    </x:row>
    <x:row r="10">
      <x:c r="A10" s="26" t="str">
        <x:v>Parcelas restantes após 36</x:v>
      </x:c>
      <x:c r="B10" s="60" t="n">
        <x:f>B6-B9</x:f>
        <x:v>84</x:v>
      </x:c>
      <x:c r="C10" s="26"/>
      <x:c r="D10" s="26"/>
      <x:c r="E10" s="26"/>
      <x:c r="F10" s="26"/>
      <x:c r="G10" s="26"/>
      <x:c r="H10" s="26"/>
      <x:c r="I10" s="26"/>
      <x:c r="J10" s="26"/>
      <x:c r="K10" s="26"/>
    </x:row>
    <x:row r="11">
      <x:c r="A11" s="26" t="str">
        <x:v>Saldo devedor após 36 (SD36)</x:v>
      </x:c>
      <x:c r="B11" s="55" t="n">
        <x:f>B8*(1-(1+B5)^(-B10))/B5</x:f>
        <x:v>71480.83987887493</x:v>
      </x:c>
      <x:c r="C11" s="26"/>
      <x:c r="D11" s="26"/>
      <x:c r="E11" s="26"/>
      <x:c r="F11" s="26"/>
      <x:c r="G11" s="26"/>
      <x:c r="H11" s="26"/>
      <x:c r="I11" s="26"/>
      <x:c r="J11" s="26"/>
      <x:c r="K11" s="26"/>
    </x:row>
    <x:row r="12">
      <x:c r="A12" s="26" t="str">
        <x:v>Juros da 37ª (J37)</x:v>
      </x:c>
      <x:c r="B12" s="55" t="n">
        <x:f>B11*B5</x:f>
        <x:v>1429.6167975774986</x:v>
      </x:c>
      <x:c r="C12" s="26"/>
      <x:c r="D12" s="26"/>
      <x:c r="E12" s="26"/>
      <x:c r="F12" s="26"/>
      <x:c r="G12" s="26"/>
      <x:c r="H12" s="26"/>
      <x:c r="I12" s="26"/>
      <x:c r="J12" s="26"/>
      <x:c r="K12" s="26"/>
    </x:row>
    <x:row r="13">
      <x:c r="A13" s="26" t="str">
        <x:v>Amortização da 37ª (A37)</x:v>
      </x:c>
      <x:c r="B13" s="55" t="n">
        <x:f>B8-B12</x:f>
        <x:v>334.2309532891402</x:v>
      </x:c>
      <x:c r="C13" s="26"/>
      <x:c r="D13" s="26"/>
      <x:c r="E13" s="26"/>
      <x:c r="F13" s="26"/>
      <x:c r="G13" s="26"/>
      <x:c r="H13" s="26"/>
      <x:c r="I13" s="26"/>
      <x:c r="J13" s="26"/>
      <x:c r="K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48" t="str">
        <x:v>Exercício 5 — Sistema de Amortização Constante (SAC)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A3" s="24" t="str">
        <x:v>Entrada / cálculo</x:v>
      </x:c>
      <x:c r="B3" s="24" t="str">
        <x:v>Valor</x:v>
      </x:c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A4" s="26" t="str">
        <x:v>Valor financiado (PV)</x:v>
      </x:c>
      <x:c r="B4" s="52" t="n">
        <x:v>240000</x:v>
      </x:c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A5" s="26" t="str">
        <x:v>Taxa mensal (i)</x:v>
      </x:c>
      <x:c r="B5" s="53" t="n">
        <x:v>0.02</x:v>
      </x:c>
      <x:c r="C5" s="26"/>
      <x:c r="D5" s="26"/>
      <x:c r="E5" s="26"/>
      <x:c r="F5" s="26"/>
      <x:c r="G5" s="26"/>
      <x:c r="H5" s="26"/>
      <x:c r="I5" s="26"/>
      <x:c r="J5" s="26"/>
      <x:c r="K5" s="26"/>
    </x:row>
    <x:row r="6">
      <x:c r="A6" s="26" t="str">
        <x:v>Prazo (n)</x:v>
      </x:c>
      <x:c r="B6" s="54" t="n">
        <x:v>60</x:v>
      </x:c>
      <x:c r="C6" s="26"/>
      <x:c r="D6" s="26"/>
      <x:c r="E6" s="26"/>
      <x:c r="F6" s="26"/>
      <x:c r="G6" s="26"/>
      <x:c r="H6" s="26"/>
      <x:c r="I6" s="26"/>
      <x:c r="J6" s="26"/>
      <x:c r="K6" s="26"/>
    </x:row>
    <x:row r="7">
      <x:c r="A7" s="26" t="str">
        <x:v>Amortização fixa (A)</x:v>
      </x:c>
      <x:c r="B7" s="55" t="n">
        <x:f>B4/B6</x:f>
        <x:v>4000</x:v>
      </x:c>
      <x:c r="C7" s="26"/>
      <x:c r="D7" s="26"/>
      <x:c r="E7" s="26"/>
      <x:c r="F7" s="26"/>
      <x:c r="G7" s="26"/>
      <x:c r="H7" s="26"/>
      <x:c r="I7" s="26"/>
      <x:c r="J7" s="26"/>
      <x:c r="K7" s="26"/>
    </x:row>
    <x:row r="8">
      <x:c r="A8" s="26" t="str">
        <x:v>Mês do saldo consultado</x:v>
      </x:c>
      <x:c r="B8" s="62" t="n">
        <x:v>15</x:v>
      </x:c>
      <x:c r="C8" s="26"/>
      <x:c r="D8" s="26"/>
      <x:c r="E8" s="26"/>
      <x:c r="F8" s="26"/>
      <x:c r="G8" s="26"/>
      <x:c r="H8" s="26"/>
      <x:c r="I8" s="26"/>
      <x:c r="J8" s="26"/>
      <x:c r="K8" s="26"/>
    </x:row>
    <x:row r="9">
      <x:c r="A9" s="26" t="str">
        <x:v>Saldo devedor no mês 15</x:v>
      </x:c>
      <x:c r="B9" s="55" t="n">
        <x:f>B4-B8*B7</x:f>
        <x:v>180000</x:v>
      </x:c>
      <x:c r="C9" s="26"/>
      <x:c r="D9" s="26"/>
      <x:c r="E9" s="26"/>
      <x:c r="F9" s="26"/>
      <x:c r="G9" s="26"/>
      <x:c r="H9" s="26"/>
      <x:c r="I9" s="26"/>
      <x:c r="J9" s="26"/>
      <x:c r="K9" s="26"/>
    </x:row>
    <x:row r="10">
      <x:c r="A10" s="26" t="str">
        <x:v>Parcela consultada</x:v>
      </x:c>
      <x:c r="B10" s="62" t="n">
        <x:v>16</x:v>
      </x:c>
      <x:c r="C10" s="26"/>
      <x:c r="D10" s="26"/>
      <x:c r="E10" s="26"/>
      <x:c r="F10" s="26"/>
      <x:c r="G10" s="26"/>
      <x:c r="H10" s="26"/>
      <x:c r="I10" s="26"/>
      <x:c r="J10" s="26"/>
      <x:c r="K10" s="26"/>
    </x:row>
    <x:row r="11">
      <x:c r="A11" s="26" t="str">
        <x:v>Juros da parcela 16</x:v>
      </x:c>
      <x:c r="B11" s="55" t="n">
        <x:f>B9*B5</x:f>
        <x:v>3600</x:v>
      </x:c>
      <x:c r="C11" s="26"/>
      <x:c r="D11" s="26"/>
      <x:c r="E11" s="26"/>
      <x:c r="F11" s="26"/>
      <x:c r="G11" s="26"/>
      <x:c r="H11" s="26"/>
      <x:c r="I11" s="26"/>
      <x:c r="J11" s="26"/>
      <x:c r="K11" s="26"/>
    </x:row>
    <x:row r="12">
      <x:c r="A12" s="26" t="str">
        <x:v>Prestação da parcela 16</x:v>
      </x:c>
      <x:c r="B12" s="55" t="n">
        <x:f>B7+B11</x:f>
        <x:v>7600</x:v>
      </x:c>
      <x:c r="C12" s="26"/>
      <x:c r="D12" s="26"/>
      <x:c r="E12" s="26"/>
      <x:c r="F12" s="26"/>
      <x:c r="G12" s="26"/>
      <x:c r="H12" s="26"/>
      <x:c r="I12" s="26"/>
      <x:c r="J12" s="26"/>
      <x:c r="K12" s="26"/>
    </x:row>
    <x:row r="13">
      <x:c r="A13" s="26" t="str">
        <x:v>Observação</x:v>
      </x:c>
      <x:c r="B13" s="26" t="str">
        <x:v>No SAC, a amortização é constante e a prestação cai ao longo do tempo.</x:v>
      </x:c>
      <x:c r="C13" s="26"/>
      <x:c r="D13" s="26"/>
      <x:c r="E13" s="26"/>
      <x:c r="F13" s="26"/>
      <x:c r="G13" s="26"/>
      <x:c r="H13" s="26"/>
      <x:c r="I13" s="26"/>
      <x:c r="J13" s="26"/>
      <x:c r="K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48" t="str">
        <x:v>Exercício 6 — Comparativo Price x SAC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A3" s="24" t="str">
        <x:v>Entrada / cálculo</x:v>
      </x:c>
      <x:c r="B3" s="24" t="str">
        <x:v>Valor</x:v>
      </x:c>
      <x:c r="C3" s="26"/>
      <x:c r="D3" s="24" t="str">
        <x:v>Mês</x:v>
      </x:c>
      <x:c r="E3" s="24" t="str">
        <x:v>Price — Prestação</x:v>
      </x:c>
      <x:c r="F3" s="24" t="str">
        <x:v>SAC — Prestação</x:v>
      </x:c>
      <x:c r="G3" s="24" t="str">
        <x:v>SAC — Juros</x:v>
      </x:c>
      <x:c r="H3" s="24" t="str">
        <x:v>SAC — Saldo final</x:v>
      </x:c>
      <x:c r="I3" s="26"/>
      <x:c r="J3" s="26"/>
      <x:c r="K3" s="26"/>
    </x:row>
    <x:row r="4">
      <x:c r="A4" s="26" t="str">
        <x:v>Valor financiado (PV)</x:v>
      </x:c>
      <x:c r="B4" s="52" t="n">
        <x:v>1000000</x:v>
      </x:c>
      <x:c r="C4" s="26"/>
      <x:c r="D4" s="26" t="n">
        <x:v>1</x:v>
      </x:c>
      <x:c r="E4" s="55" t="n">
        <x:f>$B$7</x:f>
        <x:v>263797.4807947452</x:v>
      </x:c>
      <x:c r="F4" s="55" t="n">
        <x:f>$B$11+G4</x:f>
        <x:v>300000</x:v>
      </x:c>
      <x:c r="G4" s="55" t="n">
        <x:f>$B$4*$B$5</x:f>
        <x:v>100000</x:v>
      </x:c>
      <x:c r="H4" s="55" t="n">
        <x:f>$B$4-$B$11</x:f>
        <x:v>800000</x:v>
      </x:c>
      <x:c r="I4" s="26"/>
      <x:c r="J4" s="26"/>
      <x:c r="K4" s="26"/>
    </x:row>
    <x:row r="5">
      <x:c r="A5" s="26" t="str">
        <x:v>Taxa mensal (i)</x:v>
      </x:c>
      <x:c r="B5" s="53" t="n">
        <x:v>0.1</x:v>
      </x:c>
      <x:c r="C5" s="26"/>
      <x:c r="D5" s="26" t="n">
        <x:v>2</x:v>
      </x:c>
      <x:c r="E5" s="55" t="n">
        <x:f>$B$7</x:f>
        <x:v>263797.4807947452</x:v>
      </x:c>
      <x:c r="F5" s="55" t="n">
        <x:f>$B$11+G5</x:f>
        <x:v>280000</x:v>
      </x:c>
      <x:c r="G5" s="55" t="n">
        <x:f>H4*$B$5</x:f>
        <x:v>80000</x:v>
      </x:c>
      <x:c r="H5" s="55" t="n">
        <x:f>H4-$B$11</x:f>
        <x:v>600000</x:v>
      </x:c>
      <x:c r="I5" s="26"/>
      <x:c r="J5" s="26"/>
      <x:c r="K5" s="26"/>
    </x:row>
    <x:row r="6">
      <x:c r="A6" s="26" t="str">
        <x:v>Prazo (n)</x:v>
      </x:c>
      <x:c r="B6" s="54" t="n">
        <x:v>5</x:v>
      </x:c>
      <x:c r="C6" s="26"/>
      <x:c r="D6" s="26" t="n">
        <x:v>3</x:v>
      </x:c>
      <x:c r="E6" s="55" t="n">
        <x:f>$B$7</x:f>
        <x:v>263797.4807947452</x:v>
      </x:c>
      <x:c r="F6" s="55" t="n">
        <x:f>$B$11+G6</x:f>
        <x:v>260000</x:v>
      </x:c>
      <x:c r="G6" s="55" t="n">
        <x:f>H5*$B$5</x:f>
        <x:v>60000</x:v>
      </x:c>
      <x:c r="H6" s="55" t="n">
        <x:f>H5-$B$11</x:f>
        <x:v>400000</x:v>
      </x:c>
      <x:c r="I6" s="26"/>
      <x:c r="J6" s="26"/>
      <x:c r="K6" s="26"/>
    </x:row>
    <x:row r="7">
      <x:c r="A7" s="26" t="str">
        <x:v>Prestação Price</x:v>
      </x:c>
      <x:c r="B7" s="55" t="n">
        <x:f>B4*(B5*(1+B5)^B6)/((1+B5)^B6-1)</x:f>
        <x:v>263797.4807947452</x:v>
      </x:c>
      <x:c r="C7" s="26"/>
      <x:c r="D7" s="26" t="n">
        <x:v>4</x:v>
      </x:c>
      <x:c r="E7" s="55" t="n">
        <x:f>$B$7</x:f>
        <x:v>263797.4807947452</x:v>
      </x:c>
      <x:c r="F7" s="55" t="n">
        <x:f>$B$11+G7</x:f>
        <x:v>240000</x:v>
      </x:c>
      <x:c r="G7" s="55" t="n">
        <x:f>H6*$B$5</x:f>
        <x:v>40000</x:v>
      </x:c>
      <x:c r="H7" s="55" t="n">
        <x:f>H6-$B$11</x:f>
        <x:v>200000</x:v>
      </x:c>
      <x:c r="I7" s="26"/>
      <x:c r="J7" s="26"/>
      <x:c r="K7" s="26"/>
    </x:row>
    <x:row r="8">
      <x:c r="A8" s="26" t="str">
        <x:v>1ª prestação Price</x:v>
      </x:c>
      <x:c r="B8" s="55" t="n">
        <x:f>B7</x:f>
        <x:v>263797.4807947452</x:v>
      </x:c>
      <x:c r="C8" s="26"/>
      <x:c r="D8" s="26" t="n">
        <x:v>5</x:v>
      </x:c>
      <x:c r="E8" s="55" t="n">
        <x:f>$B$7</x:f>
        <x:v>263797.4807947452</x:v>
      </x:c>
      <x:c r="F8" s="55" t="n">
        <x:f>$B$11+G8</x:f>
        <x:v>220000</x:v>
      </x:c>
      <x:c r="G8" s="55" t="n">
        <x:f>H7*$B$5</x:f>
        <x:v>20000</x:v>
      </x:c>
      <x:c r="H8" s="55" t="n">
        <x:f>H7-$B$11</x:f>
        <x:v>0</x:v>
      </x:c>
      <x:c r="I8" s="26"/>
      <x:c r="J8" s="26"/>
      <x:c r="K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</x:row>
    <x:row r="10">
      <x:c r="A10" s="24" t="str">
        <x:v>Cálculo SAC</x:v>
      </x:c>
      <x:c r="B10" s="24" t="str">
        <x:v>Valor</x:v>
      </x:c>
      <x:c r="C10" s="26"/>
      <x:c r="D10" s="26"/>
      <x:c r="E10" s="26"/>
      <x:c r="F10" s="26"/>
      <x:c r="G10" s="26"/>
      <x:c r="H10" s="26"/>
      <x:c r="I10" s="26"/>
      <x:c r="J10" s="26"/>
      <x:c r="K10" s="26"/>
    </x:row>
    <x:row r="11">
      <x:c r="A11" s="26" t="str">
        <x:v>Amortização fixa</x:v>
      </x:c>
      <x:c r="B11" s="55" t="n">
        <x:f>B4/B6</x:f>
        <x:v>200000</x:v>
      </x:c>
      <x:c r="C11" s="26"/>
      <x:c r="D11" s="26"/>
      <x:c r="E11" s="26"/>
      <x:c r="F11" s="26"/>
      <x:c r="G11" s="26"/>
      <x:c r="H11" s="26"/>
      <x:c r="I11" s="26"/>
      <x:c r="J11" s="26"/>
      <x:c r="K11" s="26"/>
    </x:row>
    <x:row r="12">
      <x:c r="A12" s="26" t="str">
        <x:v>Juros 1º mês</x:v>
      </x:c>
      <x:c r="B12" s="55" t="n">
        <x:f>B4*B5</x:f>
        <x:v>100000</x:v>
      </x:c>
      <x:c r="C12" s="26"/>
      <x:c r="D12" s="26"/>
      <x:c r="E12" s="26"/>
      <x:c r="F12" s="26"/>
      <x:c r="G12" s="26"/>
      <x:c r="H12" s="26"/>
      <x:c r="I12" s="26"/>
      <x:c r="J12" s="26"/>
      <x:c r="K12" s="26"/>
    </x:row>
    <x:row r="13">
      <x:c r="A13" s="26" t="str">
        <x:v>1ª prestação SAC</x:v>
      </x:c>
      <x:c r="B13" s="55" t="n">
        <x:f>B11+B12</x:f>
        <x:v>300000</x:v>
      </x:c>
      <x:c r="C13" s="26"/>
      <x:c r="D13" s="26"/>
      <x:c r="E13" s="26"/>
      <x:c r="F13" s="26"/>
      <x:c r="G13" s="26"/>
      <x:c r="H13" s="26"/>
      <x:c r="I13" s="26"/>
      <x:c r="J13" s="26"/>
      <x:c r="K13" s="26"/>
    </x:row>
    <x:row r="14">
      <x:c r="A14" s="26" t="str">
        <x:v>Escolha</x:v>
      </x:c>
      <x:c r="B14" s="26" t="str">
        <x:v>Price — menor desembolso no primeiro mês</x:v>
      </x:c>
      <x:c r="C14" s="26"/>
      <x:c r="D14" s="26"/>
      <x:c r="E14" s="26"/>
      <x:c r="F14" s="26"/>
      <x:c r="G14" s="26"/>
      <x:c r="H14" s="26"/>
      <x:c r="I14" s="26"/>
      <x:c r="J14" s="26"/>
      <x:c r="K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bcb84c0bbc84dde"/>
</x:worksheet>
</file>