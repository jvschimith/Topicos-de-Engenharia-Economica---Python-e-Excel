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f46c8a8ce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64b8349a1784503"/>
    <x:sheet xmlns:r="http://schemas.openxmlformats.org/officeDocument/2006/relationships" name="Ex1_VPL" sheetId="2" r:id="R7d661ca3db904e5a"/>
    <x:sheet xmlns:r="http://schemas.openxmlformats.org/officeDocument/2006/relationships" name="Ex2_Projetos" sheetId="3" r:id="R3d71c8cd94454347"/>
    <x:sheet xmlns:r="http://schemas.openxmlformats.org/officeDocument/2006/relationships" name="Ex3_CAUE" sheetId="4" r:id="R29d437fabbd748ae"/>
    <x:sheet xmlns:r="http://schemas.openxmlformats.org/officeDocument/2006/relationships" name="Ex4_TIR" sheetId="5" r:id="Rdb30fe2416df4d15"/>
    <x:sheet xmlns:r="http://schemas.openxmlformats.org/officeDocument/2006/relationships" name="Ex5_Incremental" sheetId="6" r:id="R852b749ffa614a74"/>
    <x:sheet xmlns:r="http://schemas.openxmlformats.org/officeDocument/2006/relationships" name="Ex6_Payback" sheetId="7" r:id="Re89d5a8341a443e1"/>
    <x:sheet xmlns:r="http://schemas.openxmlformats.org/officeDocument/2006/relationships" name="Ex7_Franquia" sheetId="8" r:id="R54bc603271c04db5"/>
    <x:sheet xmlns:r="http://schemas.openxmlformats.org/officeDocument/2006/relationships" name="Ex8_Sensibilidade" sheetId="9" r:id="Rd824b722073c48ca"/>
    <x:sheet xmlns:r="http://schemas.openxmlformats.org/officeDocument/2006/relationships" name="Ex9_Substituicao" sheetId="10" r:id="Reca733f1f0ac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.00;[Red](R$ #,##0.00);-"/>
    <x:numFmt numFmtId="201" formatCode="0.00%"/>
    <x:numFmt numFmtId="202" formatCode="#,##0;[Red](#,##0);-"/>
    <x:numFmt numFmtId="203" formatCode="#,##0.00;[Red](#,##0.00);-"/>
    <x:numFmt numFmtId="204" formatCode="0.00 &quot;anos&quot;"/>
    <x:numFmt numFmtId="205" formatCode="0 &quot;anos&quot;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2" fontId="5" fillId="4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48a01453a4dae" /><Relationship Type="http://schemas.openxmlformats.org/officeDocument/2006/relationships/theme" Target="/xl/theme/theme1.xml" Id="R1d2a1365131d4b58" /><Relationship Type="http://schemas.openxmlformats.org/officeDocument/2006/relationships/sharedStrings" Target="/xl/sharedStrings.xml" Id="R08f9b66cb7604003" /><Relationship Type="http://schemas.openxmlformats.org/officeDocument/2006/relationships/worksheet" Target="/xl/worksheets/sheet1.xml" Id="R364b8349a1784503" /><Relationship Type="http://schemas.openxmlformats.org/officeDocument/2006/relationships/worksheet" Target="/xl/worksheets/sheet2.xml" Id="R7d661ca3db904e5a" /><Relationship Type="http://schemas.openxmlformats.org/officeDocument/2006/relationships/worksheet" Target="/xl/worksheets/sheet3.xml" Id="R3d71c8cd94454347" /><Relationship Type="http://schemas.openxmlformats.org/officeDocument/2006/relationships/worksheet" Target="/xl/worksheets/sheet4.xml" Id="R29d437fabbd748ae" /><Relationship Type="http://schemas.openxmlformats.org/officeDocument/2006/relationships/worksheet" Target="/xl/worksheets/sheet5.xml" Id="Rdb30fe2416df4d15" /><Relationship Type="http://schemas.openxmlformats.org/officeDocument/2006/relationships/worksheet" Target="/xl/worksheets/sheet6.xml" Id="R852b749ffa614a74" /><Relationship Type="http://schemas.openxmlformats.org/officeDocument/2006/relationships/worksheet" Target="/xl/worksheets/sheet7.xml" Id="Re89d5a8341a443e1" /><Relationship Type="http://schemas.openxmlformats.org/officeDocument/2006/relationships/worksheet" Target="/xl/worksheets/sheet8.xml" Id="R54bc603271c04db5" /><Relationship Type="http://schemas.openxmlformats.org/officeDocument/2006/relationships/worksheet" Target="/xl/worksheets/sheet9.xml" Id="Rd824b722073c48ca" /><Relationship Type="http://schemas.openxmlformats.org/officeDocument/2006/relationships/worksheet" Target="/xl/worksheets/sheet10.xml" Id="Reca733f1f0ac44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7ff1bd84ce42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523e7406d8a47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Comparação de VPL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'Ex2_Projetos'!$A$10:$A$11</c:f>
              <c:strCache>
                <c:ptCount val="0"/>
              </c:strCache>
            </c:strRef>
          </c:cat>
          <c:val>
            <c:numRef>
              <c:f>'Ex2_Projetos'!$B$10:$B$11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'Ex2_Projetos'!$A$10:$A$11</c:f>
              <c:strCache>
                <c:ptCount val="0"/>
              </c:strCache>
            </c:strRef>
          </c:cat>
          <c:val>
            <c:numRef>
              <c:f>'Ex2_Projetos'!$C$10:$C$11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Total Anual por Vida do Ativo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Custo total anual</c:v>
          </c:tx>
          <c:marker>
            <c:symbol val="none"/>
          </c:marker>
          <c:cat>
            <c:strRef>
              <c:f>='Ex9_Substituicao'!$A$5:$A$9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='Ex9_Substituicao'!$F$5:$F$9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7ff1bd84ce42b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23e7406d8a47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4e2b2aedcb847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aeb1a724694548b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Engenharia Econômica — Aula 6: Análise de Investimentos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67" t="str">
        <x:v>Fonte: Engenharia Econômica - Aula 6 - Análise de Investimentos.pdf — Prof. Dr. Octaviano Rojas Luiz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7" t="str">
        <x:v>Conceitos centrais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4" t="str">
        <x:v>Tema</x:v>
      </x:c>
      <x:c r="B5" s="24" t="str">
        <x:v>Ideia-chave</x:v>
      </x:c>
      <x:c r="C5" s="24" t="str">
        <x:v>Fórmula / regra</x:v>
      </x:c>
      <x:c r="D5" s="24" t="str">
        <x:v>Interpretação</x:v>
      </x:c>
      <x:c r="E5" s="26"/>
      <x:c r="F5" s="24" t="str">
        <x:v>Critério</x:v>
      </x:c>
      <x:c r="G5" s="24" t="str">
        <x:v>O que mede</x:v>
      </x:c>
      <x:c r="H5" s="24" t="str">
        <x:v>Uso</x:v>
      </x:c>
      <x:c r="I5" s="26"/>
      <x:c r="J5" s="26"/>
      <x:c r="K5" s="26"/>
      <x:c r="L5" s="26"/>
      <x:c r="M5" s="26"/>
      <x:c r="N5" s="26"/>
    </x:row>
    <x:row r="6">
      <x:c r="A6" s="26" t="str">
        <x:v>TMA</x:v>
      </x:c>
      <x:c r="B6" s="26" t="str">
        <x:v>Rentabilidade mínima exigida</x:v>
      </x:c>
      <x:c r="C6" s="26" t="str">
        <x:v>Custo de oportunidade + risco + inflação</x:v>
      </x:c>
      <x:c r="D6" s="26" t="str">
        <x:v>Taxa usada para descontar fluxos.</x:v>
      </x:c>
      <x:c r="E6" s="26"/>
      <x:c r="F6" s="26" t="str">
        <x:v>VPL</x:v>
      </x:c>
      <x:c r="G6" s="26" t="str">
        <x:v>Riqueza em R$</x:v>
      </x:c>
      <x:c r="H6" s="26" t="str">
        <x:v>Critério principal</x:v>
      </x:c>
      <x:c r="I6" s="26"/>
      <x:c r="J6" s="26"/>
      <x:c r="K6" s="26"/>
      <x:c r="L6" s="26"/>
      <x:c r="M6" s="26"/>
      <x:c r="N6" s="26"/>
    </x:row>
    <x:row r="7">
      <x:c r="A7" s="26" t="str">
        <x:v>VPL</x:v>
      </x:c>
      <x:c r="B7" s="26" t="str">
        <x:v>Riqueza absoluta gerada</x:v>
      </x:c>
      <x:c r="C7" s="26" t="str">
        <x:v>VPL = -I0 + Σ FCt/(1+TMA)^t</x:v>
      </x:c>
      <x:c r="D7" s="26" t="str">
        <x:v>VPL &gt; 0: projeto viável.</x:v>
      </x:c>
      <x:c r="E7" s="26"/>
      <x:c r="F7" s="26" t="str">
        <x:v>TIR</x:v>
      </x:c>
      <x:c r="G7" s="26" t="str">
        <x:v>Rentabilidade em %</x:v>
      </x:c>
      <x:c r="H7" s="26" t="str">
        <x:v>Comparar com a TMA</x:v>
      </x:c>
      <x:c r="I7" s="26"/>
      <x:c r="J7" s="26"/>
      <x:c r="K7" s="26"/>
      <x:c r="L7" s="26"/>
      <x:c r="M7" s="26"/>
      <x:c r="N7" s="26"/>
    </x:row>
    <x:row r="8">
      <x:c r="A8" s="26" t="str">
        <x:v>VAE / CAUE</x:v>
      </x:c>
      <x:c r="B8" s="26" t="str">
        <x:v>Equivalente anual do VPL/custo</x:v>
      </x:c>
      <x:c r="C8" s="26" t="str">
        <x:v>VAE = VPL × FRC</x:v>
      </x:c>
      <x:c r="D8" s="26" t="str">
        <x:v>Útil para vidas úteis diferentes.</x:v>
      </x:c>
      <x:c r="E8" s="26"/>
      <x:c r="F8" s="26" t="str">
        <x:v>VAE / CAUE</x:v>
      </x:c>
      <x:c r="G8" s="26" t="str">
        <x:v>Valor/custo anual equivalente</x:v>
      </x:c>
      <x:c r="H8" s="26" t="str">
        <x:v>Projetos com vidas diferentes</x:v>
      </x:c>
      <x:c r="I8" s="26"/>
      <x:c r="J8" s="26"/>
      <x:c r="K8" s="26"/>
      <x:c r="L8" s="26"/>
      <x:c r="M8" s="26"/>
      <x:c r="N8" s="26"/>
    </x:row>
    <x:row r="9">
      <x:c r="A9" s="26" t="str">
        <x:v>TIR</x:v>
      </x:c>
      <x:c r="B9" s="26" t="str">
        <x:v>Taxa que zera o VPL</x:v>
      </x:c>
      <x:c r="C9" s="26" t="str">
        <x:v>VPL(TIR)=0</x:v>
      </x:c>
      <x:c r="D9" s="26" t="str">
        <x:v>TIR &gt; TMA: projeto viável.</x:v>
      </x:c>
      <x:c r="E9" s="26"/>
      <x:c r="F9" s="26" t="str">
        <x:v>Payback</x:v>
      </x:c>
      <x:c r="G9" s="26" t="str">
        <x:v>Tempo de retorno</x:v>
      </x:c>
      <x:c r="H9" s="26" t="str">
        <x:v>Liquidez e risco</x:v>
      </x:c>
      <x:c r="I9" s="26"/>
      <x:c r="J9" s="26"/>
      <x:c r="K9" s="26"/>
      <x:c r="L9" s="26"/>
      <x:c r="M9" s="26"/>
      <x:c r="N9" s="26"/>
    </x:row>
    <x:row r="10">
      <x:c r="A10" s="26" t="str">
        <x:v>Payback simples</x:v>
      </x:c>
      <x:c r="B10" s="26" t="str">
        <x:v>Tempo para recuperar o investimento</x:v>
      </x:c>
      <x:c r="C10" s="26" t="str">
        <x:v>Fluxos nominais acumulados</x:v>
      </x:c>
      <x:c r="D10" s="26" t="str">
        <x:v>Ignora valor do dinheiro no tempo.</x:v>
      </x:c>
      <x:c r="E10" s="26"/>
      <x:c r="F10" s="26" t="str">
        <x:v>Substituição de ativos</x:v>
      </x:c>
      <x:c r="G10" s="26" t="str">
        <x:v>Custo anual total</x:v>
      </x:c>
      <x:c r="H10" s="26" t="str">
        <x:v>Escolher vida econômica</x:v>
      </x:c>
      <x:c r="I10" s="26"/>
      <x:c r="J10" s="26"/>
      <x:c r="K10" s="26"/>
      <x:c r="L10" s="26"/>
      <x:c r="M10" s="26"/>
      <x:c r="N10" s="26"/>
    </x:row>
    <x:row r="11">
      <x:c r="A11" s="26" t="str">
        <x:v>Payback descontado</x:v>
      </x:c>
      <x:c r="B11" s="26" t="str">
        <x:v>Tempo de recuperação a valor presente</x:v>
      </x:c>
      <x:c r="C11" s="26" t="str">
        <x:v>Fluxos descontados acumulados</x:v>
      </x:c>
      <x:c r="D11" s="26" t="str">
        <x:v>Métrica de liquidez/risco.</x:v>
      </x:c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7" t="str">
        <x:v>Resultados dos exercícios 1 a 9</x:v>
      </x:c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4" t="str">
        <x:v>Ex.</x:v>
      </x:c>
      <x:c r="B14" s="24" t="str">
        <x:v>Tema</x:v>
      </x:c>
      <x:c r="C14" s="24" t="str">
        <x:v>Resultado 1</x:v>
      </x:c>
      <x:c r="D14" s="24" t="str">
        <x:v>Valor 1</x:v>
      </x:c>
      <x:c r="E14" s="24" t="str">
        <x:v>Resultado 2</x:v>
      </x:c>
      <x:c r="F14" s="24" t="str">
        <x:v>Valor 2</x:v>
      </x:c>
      <x:c r="G14" s="24" t="str">
        <x:v>Conclusão</x:v>
      </x:c>
      <x:c r="H14" s="24" t="str">
        <x:v>Aba</x:v>
      </x:c>
      <x:c r="I14" s="26"/>
      <x:c r="J14" s="26"/>
      <x:c r="K14" s="26"/>
      <x:c r="L14" s="26"/>
      <x:c r="M14" s="26"/>
      <x:c r="N14" s="26"/>
    </x:row>
    <x:row r="15">
      <x:c r="A15" s="26" t="n">
        <x:v>1</x:v>
      </x:c>
      <x:c r="B15" s="26" t="str">
        <x:v>VPL</x:v>
      </x:c>
      <x:c r="C15" s="26" t="str">
        <x:v>VPL da reforma</x:v>
      </x:c>
      <x:c r="D15" s="58" t="n">
        <x:f>'Ex1_VPL'!B11</x:f>
        <x:v>4071.6430351751114</x:v>
      </x:c>
      <x:c r="E15" s="26" t="str"/>
      <x:c r="F15" s="26"/>
      <x:c r="G15" s="26" t="str">
        <x:v>Viável</x:v>
      </x:c>
      <x:c r="H15" s="26" t="str">
        <x:v>Ex1_VPL</x:v>
      </x:c>
      <x:c r="I15" s="26"/>
      <x:c r="J15" s="26"/>
      <x:c r="K15" s="26"/>
      <x:c r="L15" s="26"/>
      <x:c r="M15" s="26"/>
      <x:c r="N15" s="26"/>
    </x:row>
    <x:row r="16">
      <x:c r="A16" s="26" t="n">
        <x:v>2</x:v>
      </x:c>
      <x:c r="B16" s="26" t="str">
        <x:v>Projetos mutuamente excludentes</x:v>
      </x:c>
      <x:c r="C16" s="26" t="str">
        <x:v>VPL A</x:v>
      </x:c>
      <x:c r="D16" s="58" t="n">
        <x:f>'Ex2_Projetos'!B11</x:f>
        <x:v>2803.1710011083487</x:v>
      </x:c>
      <x:c r="E16" s="26" t="str">
        <x:v>VPL B</x:v>
      </x:c>
      <x:c r="F16" s="58" t="n">
        <x:f>'Ex2_Projetos'!C11</x:f>
        <x:v>5860.819921684684</x:v>
      </x:c>
      <x:c r="G16" s="26" t="str">
        <x:v>Escolher B pelo maior VPL</x:v>
      </x:c>
      <x:c r="H16" s="26" t="str">
        <x:v>Ex2_Projetos</x:v>
      </x:c>
      <x:c r="I16" s="26"/>
      <x:c r="J16" s="26"/>
      <x:c r="K16" s="26"/>
      <x:c r="L16" s="26"/>
      <x:c r="M16" s="26"/>
      <x:c r="N16" s="26"/>
    </x:row>
    <x:row r="17">
      <x:c r="A17" s="26" t="n">
        <x:v>3</x:v>
      </x:c>
      <x:c r="B17" s="26" t="str">
        <x:v>CAUE</x:v>
      </x:c>
      <x:c r="C17" s="26" t="str">
        <x:v>CAUE Comum</x:v>
      </x:c>
      <x:c r="D17" s="58" t="n">
        <x:f>'Ex3_CAUE'!B10</x:f>
        <x:v>50091.290913367295</x:v>
      </x:c>
      <x:c r="E17" s="26" t="str">
        <x:v>CAUE Premium</x:v>
      </x:c>
      <x:c r="F17" s="58" t="n">
        <x:f>'Ex3_CAUE'!C10</x:f>
        <x:v>47689.43638306412</x:v>
      </x:c>
      <x:c r="G17" s="26" t="str">
        <x:v>Premium tem menor custo anual</x:v>
      </x:c>
      <x:c r="H17" s="26" t="str">
        <x:v>Ex3_CAUE</x:v>
      </x:c>
      <x:c r="I17" s="26"/>
      <x:c r="J17" s="26"/>
      <x:c r="K17" s="26"/>
      <x:c r="L17" s="26"/>
      <x:c r="M17" s="26"/>
      <x:c r="N17" s="26"/>
    </x:row>
    <x:row r="18">
      <x:c r="A18" s="26" t="n">
        <x:v>4</x:v>
      </x:c>
      <x:c r="B18" s="26" t="str">
        <x:v>TIR</x:v>
      </x:c>
      <x:c r="C18" s="26" t="str">
        <x:v>TIR</x:v>
      </x:c>
      <x:c r="D18" s="60" t="n">
        <x:f>'Ex4_TIR'!B14</x:f>
        <x:v>0.19999999999999996</x:v>
      </x:c>
      <x:c r="E18" s="26" t="str">
        <x:v>TMA</x:v>
      </x:c>
      <x:c r="F18" s="60" t="n">
        <x:f>'Ex4_TIR'!B7</x:f>
        <x:v>0.1</x:v>
      </x:c>
      <x:c r="G18" s="26" t="str">
        <x:v>Viável: TIR &gt; TMA</x:v>
      </x:c>
      <x:c r="H18" s="26" t="str">
        <x:v>Ex4_TIR</x:v>
      </x:c>
      <x:c r="I18" s="26"/>
      <x:c r="J18" s="26"/>
      <x:c r="K18" s="26"/>
      <x:c r="L18" s="26"/>
      <x:c r="M18" s="26"/>
      <x:c r="N18" s="26"/>
    </x:row>
    <x:row r="19">
      <x:c r="A19" s="26" t="n">
        <x:v>5</x:v>
      </x:c>
      <x:c r="B19" s="26" t="str">
        <x:v>TIR incremental</x:v>
      </x:c>
      <x:c r="C19" s="26" t="str">
        <x:v>VPL A</x:v>
      </x:c>
      <x:c r="D19" s="58" t="n">
        <x:f>'Ex5_Incremental'!B9</x:f>
        <x:v>1818.181818181818</x:v>
      </x:c>
      <x:c r="E19" s="26" t="str">
        <x:v>VPL B</x:v>
      </x:c>
      <x:c r="F19" s="58" t="n">
        <x:f>'Ex5_Incremental'!C9</x:f>
        <x:v>1818.1818181818162</x:v>
      </x:c>
      <x:c r="G19" s="26" t="str">
        <x:v>Empate no VPL; ΔTIR = TMA</x:v>
      </x:c>
      <x:c r="H19" s="26" t="str">
        <x:v>Ex5_Incremental</x:v>
      </x:c>
      <x:c r="I19" s="26"/>
      <x:c r="J19" s="26"/>
      <x:c r="K19" s="26"/>
      <x:c r="L19" s="26"/>
      <x:c r="M19" s="26"/>
      <x:c r="N19" s="26"/>
    </x:row>
    <x:row r="20">
      <x:c r="A20" s="26" t="n">
        <x:v>6</x:v>
      </x:c>
      <x:c r="B20" s="26" t="str">
        <x:v>Payback</x:v>
      </x:c>
      <x:c r="C20" s="26" t="str">
        <x:v>Payback simples</x:v>
      </x:c>
      <x:c r="D20" s="62" t="n">
        <x:f>'Ex6_Payback'!B16</x:f>
        <x:v>1.7222222222222223</x:v>
      </x:c>
      <x:c r="E20" s="26" t="str">
        <x:v>Payback descontado</x:v>
      </x:c>
      <x:c r="F20" s="62" t="n">
        <x:f>'Ex6_Payback'!B19</x:f>
        <x:v>1.9955555555555557</x:v>
      </x:c>
      <x:c r="G20" s="26" t="str">
        <x:v>Descontado é mais demorado</x:v>
      </x:c>
      <x:c r="H20" s="26" t="str">
        <x:v>Ex6_Payback</x:v>
      </x:c>
      <x:c r="I20" s="26"/>
      <x:c r="J20" s="26"/>
      <x:c r="K20" s="26"/>
      <x:c r="L20" s="26"/>
      <x:c r="M20" s="26"/>
      <x:c r="N20" s="26"/>
    </x:row>
    <x:row r="21">
      <x:c r="A21" s="26" t="n">
        <x:v>7</x:v>
      </x:c>
      <x:c r="B21" s="26" t="str">
        <x:v>Franquia</x:v>
      </x:c>
      <x:c r="C21" s="26" t="str">
        <x:v>VPL a 15%</x:v>
      </x:c>
      <x:c r="D21" s="58" t="n">
        <x:f>'Ex7_Franquia'!H11</x:f>
        <x:v>31366.883337323718</x:v>
      </x:c>
      <x:c r="E21" s="26" t="str">
        <x:v>TIR</x:v>
      </x:c>
      <x:c r="F21" s="60" t="n">
        <x:f>'Ex7_Franquia'!H12</x:f>
        <x:v>0.3793350388485943</x:v>
      </x:c>
      <x:c r="G21" s="26" t="str">
        <x:v>Projeto viável</x:v>
      </x:c>
      <x:c r="H21" s="26" t="str">
        <x:v>Ex7_Franquia</x:v>
      </x:c>
      <x:c r="I21" s="26"/>
      <x:c r="J21" s="26"/>
      <x:c r="K21" s="26"/>
      <x:c r="L21" s="26"/>
      <x:c r="M21" s="26"/>
      <x:c r="N21" s="26"/>
    </x:row>
    <x:row r="22">
      <x:c r="A22" s="26" t="n">
        <x:v>8</x:v>
      </x:c>
      <x:c r="B22" s="26" t="str">
        <x:v>Sensibilidade à TMA</x:v>
      </x:c>
      <x:c r="C22" s="26" t="str">
        <x:v>VPL a 50%</x:v>
      </x:c>
      <x:c r="D22" s="58" t="n">
        <x:f>'Ex8_Sensibilidade'!H11</x:f>
        <x:v>-9876.543209876547</x:v>
      </x:c>
      <x:c r="E22" s="26" t="str">
        <x:v>Payback descontado</x:v>
      </x:c>
      <x:c r="F22" s="26"/>
      <x:c r="G22" s="26" t="str">
        <x:v>VPL cai; TIR não muda</x:v>
      </x:c>
      <x:c r="H22" s="26" t="str">
        <x:v>Ex8_Sensibilidade</x:v>
      </x:c>
      <x:c r="I22" s="26"/>
      <x:c r="J22" s="26"/>
      <x:c r="K22" s="26"/>
      <x:c r="L22" s="26"/>
      <x:c r="M22" s="26"/>
      <x:c r="N22" s="26"/>
    </x:row>
    <x:row r="23">
      <x:c r="A23" s="26" t="n">
        <x:v>9</x:v>
      </x:c>
      <x:c r="B23" s="26" t="str">
        <x:v>Substituição de ativo</x:v>
      </x:c>
      <x:c r="C23" s="26" t="str">
        <x:v>Menor custo anual</x:v>
      </x:c>
      <x:c r="D23" s="58" t="n">
        <x:f>'Ex9_Substituicao'!B12</x:f>
        <x:v>157060.41999999998</x:v>
      </x:c>
      <x:c r="E23" s="26" t="str">
        <x:v>Vida econômica</x:v>
      </x:c>
      <x:c r="F23" s="64" t="n">
        <x:f>'Ex9_Substituicao'!B13</x:f>
        <x:v>3</x:v>
      </x:c>
      <x:c r="G23" s="26" t="str">
        <x:v>Manter por 3 anos</x:v>
      </x:c>
      <x:c r="H23" s="26" t="str">
        <x:v>Ex9_Substituicao</x:v>
      </x:c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1 — VPL da Reforma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 / cálculo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70" t="n">
        <x:v>50000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Fluxo anual</x:v>
      </x:c>
      <x:c r="B5" s="70" t="n">
        <x:v>15000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TMA</x:v>
      </x:c>
      <x:c r="B6" s="71" t="n">
        <x:v>0.12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 t="str">
        <x:v>Vida (anos)</x:v>
      </x:c>
      <x:c r="B7" s="72" t="n">
        <x:v>5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4" t="str">
        <x:v>Cálculo</x:v>
      </x:c>
      <x:c r="B9" s="24" t="str">
        <x:v>Resultado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6" t="str">
        <x:v>Fator de valor presente</x:v>
      </x:c>
      <x:c r="B10" s="73" t="n">
        <x:f>(1-(1+B6)^(-B7))/B6</x:f>
        <x:v>3.6047762023450076</x:v>
      </x:c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 t="str">
        <x:v>VPL</x:v>
      </x:c>
      <x:c r="B11" s="74" t="n">
        <x:f>-B4+B5*B10</x:f>
        <x:v>4071.6430351751114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 t="str">
        <x:v>Decisão</x:v>
      </x:c>
      <x:c r="B12" s="26" t="str">
        <x:f>IF(B11&gt;0,"Viável","Não viável")</x:f>
        <x:v>Viável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2 — Projetos Mutuamente Excludentes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</x:v>
      </x:c>
      <x:c r="B3" s="24" t="str">
        <x:v>Opção A</x:v>
      </x:c>
      <x:c r="C3" s="24" t="str">
        <x:v>Opção B</x:v>
      </x:c>
      <x:c r="D3" s="26" t="str"/>
      <x:c r="E3" s="26" t="str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70" t="n">
        <x:v>80000</x:v>
      </x:c>
      <x:c r="C4" s="70" t="n">
        <x:v>120000</x:v>
      </x:c>
      <x:c r="D4" s="26" t="str"/>
      <x:c r="E4" s="26" t="str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Fluxo anual</x:v>
      </x:c>
      <x:c r="B5" s="70" t="n">
        <x:v>25000</x:v>
      </x:c>
      <x:c r="C5" s="70" t="n">
        <x:v>38000</x:v>
      </x:c>
      <x:c r="D5" s="26" t="str"/>
      <x:c r="E5" s="26" t="str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TMA</x:v>
      </x:c>
      <x:c r="B6" s="71" t="n">
        <x:v>0.08</x:v>
      </x:c>
      <x:c r="C6" s="71" t="n">
        <x:v>0.08</x:v>
      </x:c>
      <x:c r="D6" s="26" t="str"/>
      <x:c r="E6" s="26" t="str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4" t="str">
        <x:v>Cálculo</x:v>
      </x:c>
      <x:c r="B8" s="24" t="str">
        <x:v>Opção A</x:v>
      </x:c>
      <x:c r="C8" s="24" t="str">
        <x:v>Opção B</x:v>
      </x:c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6" t="str">
        <x:v>Vida (anos)</x:v>
      </x:c>
      <x:c r="B9" s="80" t="n">
        <x:v>4</x:v>
      </x:c>
      <x:c r="C9" s="80" t="n">
        <x:v>4</x:v>
      </x:c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6" t="str">
        <x:v>Fator VP</x:v>
      </x:c>
      <x:c r="B10" s="26" t="n">
        <x:f>(1-(1+B6)^(-B9))/B6</x:f>
        <x:v>3.3121268400443338</x:v>
      </x:c>
      <x:c r="C10" s="26" t="n">
        <x:f>(1-(1+C6)^(-C9))/C6</x:f>
        <x:v>3.3121268400443338</x:v>
      </x:c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 t="str">
        <x:v>VPL</x:v>
      </x:c>
      <x:c r="B11" s="74" t="n">
        <x:f>-B4+B5*B10</x:f>
        <x:v>2803.1710011083487</x:v>
      </x:c>
      <x:c r="C11" s="74" t="n">
        <x:f>-C4+C5*C10</x:f>
        <x:v>5860.819921684684</x:v>
      </x:c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4" t="str">
        <x:v>Decisão</x:v>
      </x:c>
      <x:c r="B13" s="24" t="str">
        <x:v>Resultado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 t="str">
        <x:v>Escolha</x:v>
      </x:c>
      <x:c r="B14" s="26" t="str">
        <x:f>IF(B11&gt;C11,"Opção A","Opção B")</x:f>
        <x:v>Opção B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4e2b2aedcb847e8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3 — CAUE dos Asfaltos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 / cálculo</x:v>
      </x:c>
      <x:c r="B3" s="24" t="str">
        <x:v>Asfalto Comum</x:v>
      </x:c>
      <x:c r="C3" s="24" t="str">
        <x:v>Asfalto Premium</x:v>
      </x:c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Custo inicial</x:v>
      </x:c>
      <x:c r="B4" s="70" t="n">
        <x:v>200000</x:v>
      </x:c>
      <x:c r="C4" s="70" t="n">
        <x:v>320000</x:v>
      </x:c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Vida útil (anos)</x:v>
      </x:c>
      <x:c r="B5" s="72" t="n">
        <x:v>5</x:v>
      </x:c>
      <x:c r="C5" s="72" t="n">
        <x:v>10</x:v>
      </x:c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TMA</x:v>
      </x:c>
      <x:c r="B6" s="71" t="n">
        <x:v>0.08</x:v>
      </x:c>
      <x:c r="C6" s="71" t="n">
        <x:v>0.08</x:v>
      </x:c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 t="str">
        <x:v>Fator de recuperação de capital</x:v>
      </x:c>
      <x:c r="B7" s="26" t="n">
        <x:f>B6*(1+B6)^B5/((1+B6)^B5-1)</x:f>
        <x:v>0.25045645456683646</x:v>
      </x:c>
      <x:c r="C7" s="26" t="n">
        <x:f>C6*(1+C6)^C5/((1+C6)^C5-1)</x:f>
        <x:v>0.14902948869707539</x:v>
      </x:c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4" t="str">
        <x:v>Resultado</x:v>
      </x:c>
      <x:c r="B9" s="24" t="str">
        <x:v>Comum</x:v>
      </x:c>
      <x:c r="C9" s="24" t="str">
        <x:v>Premium</x:v>
      </x:c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6" t="str">
        <x:v>CAUE</x:v>
      </x:c>
      <x:c r="B10" s="74" t="n">
        <x:f>B4*B7</x:f>
        <x:v>50091.290913367295</x:v>
      </x:c>
      <x:c r="C10" s="74" t="n">
        <x:f>C4*C7</x:f>
        <x:v>47689.43638306412</x:v>
      </x:c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4" t="str">
        <x:v>Decisão</x:v>
      </x:c>
      <x:c r="B12" s="24" t="str">
        <x:v>Resultado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 t="str">
        <x:v>Mais barato</x:v>
      </x:c>
      <x:c r="B13" s="26" t="str">
        <x:f>IF(B10&lt;C10,"Asfalto Comum","Asfalto Premium")</x:f>
        <x:v>Asfalto Premium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4 — Taxa Interna de Retorno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 / cálculo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70" t="n">
        <x:v>50000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Fluxo ano 1</x:v>
      </x:c>
      <x:c r="B5" s="70" t="n">
        <x:v>20000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Fluxo ano 2</x:v>
      </x:c>
      <x:c r="B6" s="70" t="n">
        <x:v>48000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 t="str">
        <x:v>TMA</x:v>
      </x:c>
      <x:c r="B7" s="71" t="n">
        <x:v>0.1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4" t="str">
        <x:v>Bhaskara com x = 1 + TIR</x:v>
      </x:c>
      <x:c r="B9" s="24" t="str">
        <x:v>Resultado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6" t="str">
        <x:v>a</x:v>
      </x:c>
      <x:c r="B10" s="26" t="n">
        <x:f>B4</x:f>
        <x:v>50000</x:v>
      </x:c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 t="str">
        <x:v>b</x:v>
      </x:c>
      <x:c r="B11" s="26" t="n">
        <x:f>-B5</x:f>
        <x:v>-20000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 t="str">
        <x:v>c</x:v>
      </x:c>
      <x:c r="B12" s="26" t="n">
        <x:f>-B6</x:f>
        <x:v>-48000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 t="str">
        <x:v>x positivo</x:v>
      </x:c>
      <x:c r="B13" s="26" t="n">
        <x:f>(-B11+SQRT(B11^2-4*B10*B12))/(2*B10)</x:f>
        <x:v>1.2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 t="str">
        <x:v>TIR</x:v>
      </x:c>
      <x:c r="B14" s="82" t="n">
        <x:f>B13-1</x:f>
        <x:v>0.19999999999999996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4" t="str">
        <x:v>Decisão</x:v>
      </x:c>
      <x:c r="B16" s="24" t="str">
        <x:v>Resultado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 t="str">
        <x:v>Viabilidade</x:v>
      </x:c>
      <x:c r="B17" s="26" t="str">
        <x:f>IF(B14&gt;B7,"Viável","Não viável")</x:f>
        <x:v>Viável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5 — VPL e TIR Incremental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</x:v>
      </x:c>
      <x:c r="B3" s="24" t="str">
        <x:v>Projeto A</x:v>
      </x:c>
      <x:c r="C3" s="24" t="str">
        <x:v>Projeto B</x:v>
      </x:c>
      <x:c r="D3" s="26"/>
      <x:c r="E3" s="24" t="str">
        <x:v>Fluxo incremental B - A</x:v>
      </x:c>
      <x:c r="F3" s="24" t="str">
        <x:v>Valor</x:v>
      </x:c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70" t="n">
        <x:v>10000</x:v>
      </x:c>
      <x:c r="C4" s="70" t="n">
        <x:v>20000</x:v>
      </x:c>
      <x:c r="D4" s="26"/>
      <x:c r="E4" s="26" t="str">
        <x:v>Investimento adicional</x:v>
      </x:c>
      <x:c r="F4" s="74" t="n">
        <x:f>C4-B4</x:f>
        <x:v>10000</x:v>
      </x:c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Retorno ano 1</x:v>
      </x:c>
      <x:c r="B5" s="70" t="n">
        <x:v>13000</x:v>
      </x:c>
      <x:c r="C5" s="70" t="n">
        <x:v>24000</x:v>
      </x:c>
      <x:c r="D5" s="26"/>
      <x:c r="E5" s="26" t="str">
        <x:v>Retorno adicional ano 1</x:v>
      </x:c>
      <x:c r="F5" s="74" t="n">
        <x:f>C5-B5</x:f>
        <x:v>11000</x:v>
      </x:c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TMA</x:v>
      </x:c>
      <x:c r="B6" s="71" t="n">
        <x:v>0.1</x:v>
      </x:c>
      <x:c r="C6" s="71" t="n">
        <x:v>0.1</x:v>
      </x:c>
      <x:c r="D6" s="26"/>
      <x:c r="E6" s="26" t="str">
        <x:v>ΔTIR</x:v>
      </x:c>
      <x:c r="F6" s="82" t="n">
        <x:f>F5/F4-1</x:f>
        <x:v>0.10000000000000009</x:v>
      </x:c>
      <x:c r="G6" s="26"/>
      <x:c r="H6" s="26"/>
      <x:c r="I6" s="26"/>
      <x:c r="J6" s="26"/>
      <x:c r="K6" s="26"/>
      <x:c r="L6" s="26"/>
      <x:c r="M6" s="26"/>
      <x:c r="N6" s="26"/>
    </x:row>
    <x:row r="7">
      <x:c r="A7" s="26"/>
      <x:c r="B7" s="26"/>
      <x:c r="C7" s="26"/>
      <x:c r="D7" s="26"/>
      <x:c r="E7" s="26" t="str">
        <x:v>TMA</x:v>
      </x:c>
      <x:c r="F7" s="82" t="n">
        <x:f>B6</x:f>
        <x:v>0.1</x:v>
      </x:c>
      <x:c r="G7" s="26"/>
      <x:c r="H7" s="26"/>
      <x:c r="I7" s="26"/>
      <x:c r="J7" s="26"/>
      <x:c r="K7" s="26"/>
      <x:c r="L7" s="26"/>
      <x:c r="M7" s="26"/>
      <x:c r="N7" s="26"/>
    </x:row>
    <x:row r="8">
      <x:c r="A8" s="24" t="str">
        <x:v>Cálculo</x:v>
      </x:c>
      <x:c r="B8" s="24" t="str">
        <x:v>Projeto A</x:v>
      </x:c>
      <x:c r="C8" s="24" t="str">
        <x:v>Projeto B</x:v>
      </x:c>
      <x:c r="D8" s="26"/>
      <x:c r="E8" s="26" t="str">
        <x:v>Interpretação</x:v>
      </x:c>
      <x:c r="F8" s="26" t="str">
        <x:f>IF(F6&gt;F7,"Vale o capital extra",IF(F6=F7,"Indiferente","Não vale o capital extra"))</x:f>
        <x:v>Indiferente</x:v>
      </x:c>
      <x:c r="G8" s="26"/>
      <x:c r="H8" s="26"/>
      <x:c r="I8" s="26"/>
      <x:c r="J8" s="26"/>
      <x:c r="K8" s="26"/>
      <x:c r="L8" s="26"/>
      <x:c r="M8" s="26"/>
      <x:c r="N8" s="26"/>
    </x:row>
    <x:row r="9">
      <x:c r="A9" s="26" t="str">
        <x:v>VPL</x:v>
      </x:c>
      <x:c r="B9" s="74" t="n">
        <x:f>-B4+B5/(1+B6)</x:f>
        <x:v>1818.181818181818</x:v>
      </x:c>
      <x:c r="C9" s="74" t="n">
        <x:f>-C4+C5/(1+C6)</x:f>
        <x:v>1818.1818181818162</x:v>
      </x:c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6" t="str">
        <x:v>TIR simples</x:v>
      </x:c>
      <x:c r="B10" s="82" t="n">
        <x:f>B5/B4-1</x:f>
        <x:v>0.30000000000000004</x:v>
      </x:c>
      <x:c r="C10" s="82" t="n">
        <x:f>C5/C4-1</x:f>
        <x:v>0.19999999999999996</x:v>
      </x:c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6 — Payback Simples e Descontado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70" t="n">
        <x:v>25000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Fluxo ano 1</x:v>
      </x:c>
      <x:c r="B5" s="70" t="n">
        <x:v>12000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Fluxo ano 2</x:v>
      </x:c>
      <x:c r="B6" s="70" t="n">
        <x:v>18000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 t="str">
        <x:v>TMA</x:v>
      </x:c>
      <x:c r="B7" s="71" t="n">
        <x:v>0.12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4" t="str">
        <x:v>Ano</x:v>
      </x:c>
      <x:c r="B9" s="24" t="str">
        <x:v>Fluxo nominal</x:v>
      </x:c>
      <x:c r="C9" s="24" t="str">
        <x:v>Acumulado simples</x:v>
      </x:c>
      <x:c r="D9" s="24" t="str">
        <x:v>Fluxo descontado</x:v>
      </x:c>
      <x:c r="E9" s="24" t="str">
        <x:v>Acumulado descontado</x:v>
      </x:c>
      <x:c r="F9" s="24" t="str">
        <x:v>Fator desconto</x:v>
      </x:c>
      <x:c r="G9" s="26"/>
      <x:c r="H9" s="26"/>
      <x:c r="I9" s="26"/>
      <x:c r="J9" s="26"/>
      <x:c r="K9" s="26"/>
      <x:c r="L9" s="26"/>
      <x:c r="M9" s="26"/>
      <x:c r="N9" s="26"/>
    </x:row>
    <x:row r="10">
      <x:c r="A10" s="26" t="n">
        <x:v>0</x:v>
      </x:c>
      <x:c r="B10" s="74" t="n">
        <x:f>-B4</x:f>
        <x:v>-25000</x:v>
      </x:c>
      <x:c r="C10" s="74" t="n">
        <x:f>B10</x:f>
        <x:v>-25000</x:v>
      </x:c>
      <x:c r="D10" s="74" t="n">
        <x:f>B10</x:f>
        <x:v>-25000</x:v>
      </x:c>
      <x:c r="E10" s="74" t="n">
        <x:f>D10</x:f>
        <x:v>-25000</x:v>
      </x:c>
      <x:c r="F10" s="26" t="n">
        <x:v>1</x:v>
      </x:c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 t="n">
        <x:v>1</x:v>
      </x:c>
      <x:c r="B11" s="74" t="n">
        <x:f>B5</x:f>
        <x:v>12000</x:v>
      </x:c>
      <x:c r="C11" s="74" t="n">
        <x:f>C10+B11</x:f>
        <x:v>-13000</x:v>
      </x:c>
      <x:c r="D11" s="74" t="n">
        <x:f>B11*F11</x:f>
        <x:v>10714.285714285714</x:v>
      </x:c>
      <x:c r="E11" s="74" t="n">
        <x:f>E10+D11</x:f>
        <x:v>-14285.714285714286</x:v>
      </x:c>
      <x:c r="F11" s="26" t="n">
        <x:f>1/(1+$B$7)^A11</x:f>
        <x:v>0.8928571428571428</x:v>
      </x:c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 t="n">
        <x:v>2</x:v>
      </x:c>
      <x:c r="B12" s="74" t="n">
        <x:f>B6</x:f>
        <x:v>18000</x:v>
      </x:c>
      <x:c r="C12" s="74" t="n">
        <x:f>C11+B12</x:f>
        <x:v>5000</x:v>
      </x:c>
      <x:c r="D12" s="74" t="n">
        <x:f>B12*F12</x:f>
        <x:v>14349.489795918365</x:v>
      </x:c>
      <x:c r="E12" s="74" t="n">
        <x:f>E11+D12</x:f>
        <x:v>63.77551020407918</x:v>
      </x:c>
      <x:c r="F12" s="26" t="n">
        <x:f>1/(1+$B$7)^A12</x:f>
        <x:v>0.7971938775510203</x:v>
      </x:c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4" t="str">
        <x:v>Resultado</x:v>
      </x:c>
      <x:c r="B14" s="24" t="str">
        <x:v>Valor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 t="str">
        <x:v>Fração do ano 2 - simples</x:v>
      </x:c>
      <x:c r="B15" s="73" t="n">
        <x:f>ABS(C11)/B12</x:f>
        <x:v>0.7222222222222222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 t="str">
        <x:v>Payback simples (anos)</x:v>
      </x:c>
      <x:c r="B16" s="73" t="n">
        <x:f>1+B15</x:f>
        <x:v>1.7222222222222223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 t="str">
        <x:v>Payback simples (meses aprox.)</x:v>
      </x:c>
      <x:c r="B17" s="73" t="n">
        <x:f>B15*12</x:f>
        <x:v>8.666666666666666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 t="str">
        <x:v>Fração do ano 2 - descontado</x:v>
      </x:c>
      <x:c r="B18" s="73" t="n">
        <x:f>ABS(E11)/D12</x:f>
        <x:v>0.9955555555555557</x:v>
      </x:c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 t="str">
        <x:v>Payback descontado (anos)</x:v>
      </x:c>
      <x:c r="B19" s="73" t="n">
        <x:f>1+B18</x:f>
        <x:v>1.9955555555555557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7 — Franquia com Valor Residual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70" t="n">
        <x:v>60000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Receita líquida anual</x:v>
      </x:c>
      <x:c r="B5" s="70" t="n">
        <x:v>30000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Vida (anos)</x:v>
      </x:c>
      <x:c r="B6" s="72" t="n">
        <x:v>4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 t="str">
        <x:v>Valor residual no ano 4</x:v>
      </x:c>
      <x:c r="B7" s="70" t="n">
        <x:v>10000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 t="str">
        <x:v>TMA</x:v>
      </x:c>
      <x:c r="B8" s="71" t="n">
        <x:v>0.15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4" t="str">
        <x:v>Ano</x:v>
      </x:c>
      <x:c r="B10" s="24" t="str">
        <x:v>Fluxo</x:v>
      </x:c>
      <x:c r="C10" s="24" t="str">
        <x:v>Fator VP</x:v>
      </x:c>
      <x:c r="D10" s="24" t="str">
        <x:v>Fluxo descontado</x:v>
      </x:c>
      <x:c r="E10" s="24" t="str">
        <x:v>Acumulado descontado</x:v>
      </x:c>
      <x:c r="F10" s="26"/>
      <x:c r="G10" s="24" t="str">
        <x:v>Resultado</x:v>
      </x:c>
      <x:c r="H10" s="24" t="str">
        <x:v>Valor</x:v>
      </x:c>
      <x:c r="I10" s="26"/>
      <x:c r="J10" s="26"/>
      <x:c r="K10" s="26"/>
      <x:c r="L10" s="26"/>
      <x:c r="M10" s="26"/>
      <x:c r="N10" s="26"/>
    </x:row>
    <x:row r="11">
      <x:c r="A11" s="26" t="n">
        <x:v>0</x:v>
      </x:c>
      <x:c r="B11" s="74" t="n">
        <x:f>-$B$4</x:f>
        <x:v>-60000</x:v>
      </x:c>
      <x:c r="C11" s="26" t="n">
        <x:v>1</x:v>
      </x:c>
      <x:c r="D11" s="74" t="n">
        <x:f>B11</x:f>
        <x:v>-60000</x:v>
      </x:c>
      <x:c r="E11" s="74" t="n">
        <x:f>D11</x:f>
        <x:v>-60000</x:v>
      </x:c>
      <x:c r="F11" s="26"/>
      <x:c r="G11" s="26" t="str">
        <x:v>VPL</x:v>
      </x:c>
      <x:c r="H11" s="74" t="n">
        <x:f>E15</x:f>
        <x:v>31366.883337323718</x:v>
      </x:c>
      <x:c r="I11" s="26"/>
      <x:c r="J11" s="26"/>
      <x:c r="K11" s="26"/>
      <x:c r="L11" s="26"/>
      <x:c r="M11" s="26"/>
      <x:c r="N11" s="26"/>
    </x:row>
    <x:row r="12">
      <x:c r="A12" s="26" t="n">
        <x:v>1</x:v>
      </x:c>
      <x:c r="B12" s="74" t="n">
        <x:f>$B$5</x:f>
        <x:v>30000</x:v>
      </x:c>
      <x:c r="C12" s="26" t="n">
        <x:f>1/(1+$B$8)^A12</x:f>
        <x:v>0.8695652173913044</x:v>
      </x:c>
      <x:c r="D12" s="74" t="n">
        <x:f>B12*C12</x:f>
        <x:v>26086.956521739132</x:v>
      </x:c>
      <x:c r="E12" s="74" t="n">
        <x:f>E11+D12</x:f>
        <x:v>-33913.043478260865</x:v>
      </x:c>
      <x:c r="F12" s="26"/>
      <x:c r="G12" s="26" t="str">
        <x:v>TIR aprox.</x:v>
      </x:c>
      <x:c r="H12" s="82" t="n">
        <x:f>IRR(B11:B15)</x:f>
        <x:v>0.3793350388485943</x:v>
      </x:c>
      <x:c r="I12" s="26"/>
      <x:c r="J12" s="26"/>
      <x:c r="K12" s="26"/>
      <x:c r="L12" s="26"/>
      <x:c r="M12" s="26"/>
      <x:c r="N12" s="26"/>
    </x:row>
    <x:row r="13">
      <x:c r="A13" s="26" t="n">
        <x:v>2</x:v>
      </x:c>
      <x:c r="B13" s="74" t="n">
        <x:f>$B$5</x:f>
        <x:v>30000</x:v>
      </x:c>
      <x:c r="C13" s="26" t="n">
        <x:f>1/(1+$B$8)^A13</x:f>
        <x:v>0.7561436672967865</x:v>
      </x:c>
      <x:c r="D13" s="74" t="n">
        <x:f>B13*C13</x:f>
        <x:v>22684.310018903594</x:v>
      </x:c>
      <x:c r="E13" s="74" t="n">
        <x:f>E12+D13</x:f>
        <x:v>-11228.73345935727</x:v>
      </x:c>
      <x:c r="F13" s="26"/>
      <x:c r="G13" s="26" t="str">
        <x:v>Payback descontado (anos)</x:v>
      </x:c>
      <x:c r="H13" s="73" t="n">
        <x:f>2+ABS(E13)/D14</x:f>
        <x:v>2.5692499999999994</x:v>
      </x:c>
      <x:c r="I13" s="26"/>
      <x:c r="J13" s="26"/>
      <x:c r="K13" s="26"/>
      <x:c r="L13" s="26"/>
      <x:c r="M13" s="26"/>
      <x:c r="N13" s="26"/>
    </x:row>
    <x:row r="14">
      <x:c r="A14" s="26" t="n">
        <x:v>3</x:v>
      </x:c>
      <x:c r="B14" s="74" t="n">
        <x:f>$B$5</x:f>
        <x:v>30000</x:v>
      </x:c>
      <x:c r="C14" s="26" t="n">
        <x:f>1/(1+$B$8)^A14</x:f>
        <x:v>0.6575162324319883</x:v>
      </x:c>
      <x:c r="D14" s="74" t="n">
        <x:f>B14*C14</x:f>
        <x:v>19725.48697295965</x:v>
      </x:c>
      <x:c r="E14" s="74" t="n">
        <x:f>E13+D14</x:f>
        <x:v>8496.75351360238</x:v>
      </x:c>
      <x:c r="F14" s="26"/>
      <x:c r="G14" s="26" t="str">
        <x:v>Decisão</x:v>
      </x:c>
      <x:c r="H14" s="26" t="str">
        <x:f>IF(H11&gt;0,"Viável","Não viável")</x:f>
        <x:v>Viável</x:v>
      </x:c>
      <x:c r="I14" s="26"/>
      <x:c r="J14" s="26"/>
      <x:c r="K14" s="26"/>
      <x:c r="L14" s="26"/>
      <x:c r="M14" s="26"/>
      <x:c r="N14" s="26"/>
    </x:row>
    <x:row r="15">
      <x:c r="A15" s="26" t="n">
        <x:v>4</x:v>
      </x:c>
      <x:c r="B15" s="74" t="n">
        <x:f>$B$5+$B$7</x:f>
        <x:v>40000</x:v>
      </x:c>
      <x:c r="C15" s="26" t="n">
        <x:f>1/(1+$B$8)^A15</x:f>
        <x:v>0.5717532455930334</x:v>
      </x:c>
      <x:c r="D15" s="74" t="n">
        <x:f>B15*C15</x:f>
        <x:v>22870.129823721338</x:v>
      </x:c>
      <x:c r="E15" s="74" t="n">
        <x:f>E14+D15</x:f>
        <x:v>31366.883337323718</x:v>
      </x:c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8 — Efeito do Aumento da TMA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4" t="str">
        <x:v>Entrada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 t="str">
        <x:v>Investimento inicial</x:v>
      </x:c>
      <x:c r="B4" s="58" t="n">
        <x:f>'Ex7_Franquia'!B4</x:f>
        <x:v>60000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 t="str">
        <x:v>Receita líquida anual</x:v>
      </x:c>
      <x:c r="B5" s="58" t="n">
        <x:f>'Ex7_Franquia'!B5</x:f>
        <x:v>30000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 t="str">
        <x:v>Vida (anos)</x:v>
      </x:c>
      <x:c r="B6" s="84" t="n">
        <x:f>'Ex7_Franquia'!B6</x:f>
        <x:v>4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 t="str">
        <x:v>Valor residual</x:v>
      </x:c>
      <x:c r="B7" s="58" t="n">
        <x:f>'Ex7_Franquia'!B7</x:f>
        <x:v>10000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 t="str">
        <x:v>Nova TMA</x:v>
      </x:c>
      <x:c r="B8" s="71" t="n">
        <x:v>0.5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4" t="str">
        <x:v>Ano</x:v>
      </x:c>
      <x:c r="B10" s="24" t="str">
        <x:v>Fluxo</x:v>
      </x:c>
      <x:c r="C10" s="24" t="str">
        <x:v>Fator VP</x:v>
      </x:c>
      <x:c r="D10" s="24" t="str">
        <x:v>Fluxo descontado</x:v>
      </x:c>
      <x:c r="E10" s="24" t="str">
        <x:v>Acumulado descontado</x:v>
      </x:c>
      <x:c r="F10" s="26"/>
      <x:c r="G10" s="24" t="str">
        <x:v>Resultado</x:v>
      </x:c>
      <x:c r="H10" s="24" t="str">
        <x:v>Valor</x:v>
      </x:c>
      <x:c r="I10" s="26"/>
      <x:c r="J10" s="26"/>
      <x:c r="K10" s="26"/>
      <x:c r="L10" s="26"/>
      <x:c r="M10" s="26"/>
      <x:c r="N10" s="26"/>
    </x:row>
    <x:row r="11">
      <x:c r="A11" s="26" t="n">
        <x:v>0</x:v>
      </x:c>
      <x:c r="B11" s="74" t="n">
        <x:f>-$B$4</x:f>
        <x:v>-60000</x:v>
      </x:c>
      <x:c r="C11" s="26" t="n">
        <x:v>1</x:v>
      </x:c>
      <x:c r="D11" s="74" t="n">
        <x:f>B11</x:f>
        <x:v>-60000</x:v>
      </x:c>
      <x:c r="E11" s="74" t="n">
        <x:f>D11</x:f>
        <x:v>-60000</x:v>
      </x:c>
      <x:c r="F11" s="26"/>
      <x:c r="G11" s="26" t="str">
        <x:v>VPL a 50%</x:v>
      </x:c>
      <x:c r="H11" s="74" t="n">
        <x:f>E15</x:f>
        <x:v>-9876.543209876547</x:v>
      </x:c>
      <x:c r="I11" s="26"/>
      <x:c r="J11" s="26"/>
      <x:c r="K11" s="26"/>
      <x:c r="L11" s="26"/>
      <x:c r="M11" s="26"/>
      <x:c r="N11" s="26"/>
    </x:row>
    <x:row r="12">
      <x:c r="A12" s="26" t="n">
        <x:v>1</x:v>
      </x:c>
      <x:c r="B12" s="74" t="n">
        <x:f>$B$5</x:f>
        <x:v>30000</x:v>
      </x:c>
      <x:c r="C12" s="26" t="n">
        <x:f>1/(1+$B$8)^A12</x:f>
        <x:v>0.6666666666666666</x:v>
      </x:c>
      <x:c r="D12" s="74" t="n">
        <x:f>B12*C12</x:f>
        <x:v>20000</x:v>
      </x:c>
      <x:c r="E12" s="74" t="n">
        <x:f>E11+D12</x:f>
        <x:v>-40000</x:v>
      </x:c>
      <x:c r="F12" s="26"/>
      <x:c r="G12" s="26" t="str">
        <x:v>TIR do projeto</x:v>
      </x:c>
      <x:c r="H12" s="60" t="n">
        <x:f>'Ex7_Franquia'!H12</x:f>
        <x:v>0.3793350388485943</x:v>
      </x:c>
      <x:c r="I12" s="26"/>
      <x:c r="J12" s="26"/>
      <x:c r="K12" s="26"/>
      <x:c r="L12" s="26"/>
      <x:c r="M12" s="26"/>
      <x:c r="N12" s="26"/>
    </x:row>
    <x:row r="13">
      <x:c r="A13" s="26" t="n">
        <x:v>2</x:v>
      </x:c>
      <x:c r="B13" s="74" t="n">
        <x:f>$B$5</x:f>
        <x:v>30000</x:v>
      </x:c>
      <x:c r="C13" s="26" t="n">
        <x:f>1/(1+$B$8)^A13</x:f>
        <x:v>0.4444444444444444</x:v>
      </x:c>
      <x:c r="D13" s="74" t="n">
        <x:f>B13*C13</x:f>
        <x:v>13333.333333333332</x:v>
      </x:c>
      <x:c r="E13" s="74" t="n">
        <x:f>E12+D13</x:f>
        <x:v>-26666.666666666668</x:v>
      </x:c>
      <x:c r="F13" s="26"/>
      <x:c r="G13" s="26" t="str">
        <x:v>Payback descontado</x:v>
      </x:c>
      <x:c r="H13" s="26" t="str">
        <x:f>IF(E15&lt;0,"Não ocorre em 4 anos","Ocorre no horizonte")</x:f>
        <x:v>Não ocorre em 4 anos</x:v>
      </x:c>
      <x:c r="I13" s="26"/>
      <x:c r="J13" s="26"/>
      <x:c r="K13" s="26"/>
      <x:c r="L13" s="26"/>
      <x:c r="M13" s="26"/>
      <x:c r="N13" s="26"/>
    </x:row>
    <x:row r="14">
      <x:c r="A14" s="26" t="n">
        <x:v>3</x:v>
      </x:c>
      <x:c r="B14" s="74" t="n">
        <x:f>$B$5</x:f>
        <x:v>30000</x:v>
      </x:c>
      <x:c r="C14" s="26" t="n">
        <x:f>1/(1+$B$8)^A14</x:f>
        <x:v>0.2962962962962963</x:v>
      </x:c>
      <x:c r="D14" s="74" t="n">
        <x:f>B14*C14</x:f>
        <x:v>8888.888888888889</x:v>
      </x:c>
      <x:c r="E14" s="74" t="n">
        <x:f>E13+D14</x:f>
        <x:v>-17777.77777777778</x:v>
      </x:c>
      <x:c r="F14" s="26"/>
      <x:c r="G14" s="26" t="str">
        <x:v>Efeito no VPL</x:v>
      </x:c>
      <x:c r="H14" s="26" t="str">
        <x:v>Diminui</x:v>
      </x:c>
      <x:c r="I14" s="26"/>
      <x:c r="J14" s="26"/>
      <x:c r="K14" s="26"/>
      <x:c r="L14" s="26"/>
      <x:c r="M14" s="26"/>
      <x:c r="N14" s="26"/>
    </x:row>
    <x:row r="15">
      <x:c r="A15" s="26" t="n">
        <x:v>4</x:v>
      </x:c>
      <x:c r="B15" s="74" t="n">
        <x:f>$B$5+$B$7</x:f>
        <x:v>40000</x:v>
      </x:c>
      <x:c r="C15" s="26" t="n">
        <x:f>1/(1+$B$8)^A15</x:f>
        <x:v>0.19753086419753085</x:v>
      </x:c>
      <x:c r="D15" s="74" t="n">
        <x:f>B15*C15</x:f>
        <x:v>7901.234567901234</x:v>
      </x:c>
      <x:c r="E15" s="74" t="n">
        <x:f>E14+D15</x:f>
        <x:v>-9876.543209876547</x:v>
      </x:c>
      <x:c r="F15" s="26"/>
      <x:c r="G15" s="26" t="str">
        <x:v>Efeito na TIR</x:v>
      </x:c>
      <x:c r="H15" s="26" t="str">
        <x:v>Não muda</x:v>
      </x:c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20" hidden="0" customWidth="1"/>
  </x:cols>
  <x:sheetData>
    <x:row r="1" ht="26" customHeight="1">
      <x:c r="A1" s="66" t="str">
        <x:v>Exercício 9 — Substituição de Ativo / Vida Econômica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67" t="str">
        <x:v>Complete a tabela: Investimento Líquido = Investimento Bruto - Valor de Revenda; Custo Total Anual = Investimento Líquido + Custos Operacionais.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4" t="str">
        <x:v>Ano</x:v>
      </x:c>
      <x:c r="B4" s="24" t="str">
        <x:v>Investimento bruto (R$/ano)</x:v>
      </x:c>
      <x:c r="C4" s="24" t="str">
        <x:v>Valor de revenda (R$/ano)</x:v>
      </x:c>
      <x:c r="D4" s="24" t="str">
        <x:v>Investimento líquido (R$/ano)</x:v>
      </x:c>
      <x:c r="E4" s="24" t="str">
        <x:v>Custos operacionais (R$/ano)</x:v>
      </x:c>
      <x:c r="F4" s="24" t="str">
        <x:v>Custo total anual (R$/ano)</x:v>
      </x:c>
      <x:c r="G4" s="26"/>
      <x:c r="H4" s="26"/>
      <x:c r="I4" s="26"/>
      <x:c r="J4" s="26"/>
      <x:c r="K4" s="26"/>
      <x:c r="L4" s="26"/>
      <x:c r="M4" s="26"/>
      <x:c r="N4" s="26"/>
    </x:row>
    <x:row r="5">
      <x:c r="A5" s="26" t="n">
        <x:v>1</x:v>
      </x:c>
      <x:c r="B5" s="70" t="n">
        <x:v>737000</x:v>
      </x:c>
      <x:c r="C5" s="70" t="n">
        <x:v>569500</x:v>
      </x:c>
      <x:c r="D5" s="74" t="n">
        <x:f>B5-C5</x:f>
        <x:v>167500</x:v>
      </x:c>
      <x:c r="E5" s="70" t="n">
        <x:v>10000</x:v>
      </x:c>
      <x:c r="F5" s="74" t="n">
        <x:f>D5+E5</x:f>
        <x:v>177500</x:v>
      </x:c>
      <x:c r="G5" s="26"/>
      <x:c r="H5" s="26"/>
      <x:c r="I5" s="26"/>
      <x:c r="J5" s="26"/>
      <x:c r="K5" s="26"/>
      <x:c r="L5" s="26"/>
      <x:c r="M5" s="26"/>
      <x:c r="N5" s="26"/>
    </x:row>
    <x:row r="6">
      <x:c r="A6" s="26" t="n">
        <x:v>2</x:v>
      </x:c>
      <x:c r="B6" s="70" t="n">
        <x:v>386047.62</x:v>
      </x:c>
      <x:c r="C6" s="70" t="n">
        <x:v>235238.1</x:v>
      </x:c>
      <x:c r="D6" s="74" t="n">
        <x:f>B6-C6</x:f>
        <x:v>150809.52</x:v>
      </x:c>
      <x:c r="E6" s="70" t="n">
        <x:v>12380.95</x:v>
      </x:c>
      <x:c r="F6" s="74" t="n">
        <x:f>D6+E6</x:f>
        <x:v>163190.47</x:v>
      </x:c>
      <x:c r="G6" s="26"/>
      <x:c r="H6" s="26"/>
      <x:c r="I6" s="26"/>
      <x:c r="J6" s="26"/>
      <x:c r="K6" s="26"/>
      <x:c r="L6" s="26"/>
      <x:c r="M6" s="26"/>
      <x:c r="N6" s="26"/>
    </x:row>
    <x:row r="7">
      <x:c r="A7" s="26" t="n">
        <x:v>3</x:v>
      </x:c>
      <x:c r="B7" s="70" t="n">
        <x:v>269416.92</x:v>
      </x:c>
      <x:c r="C7" s="70" t="n">
        <x:v>128700.91</x:v>
      </x:c>
      <x:c r="D7" s="74" t="n">
        <x:f>B7-C7</x:f>
        <x:v>140716.00999999998</x:v>
      </x:c>
      <x:c r="E7" s="70" t="n">
        <x:v>16344.41</x:v>
      </x:c>
      <x:c r="F7" s="74" t="n">
        <x:f>D7+E7</x:f>
        <x:v>157060.41999999998</x:v>
      </x:c>
      <x:c r="G7" s="26"/>
      <x:c r="H7" s="26"/>
      <x:c r="I7" s="26"/>
      <x:c r="J7" s="26"/>
      <x:c r="K7" s="26"/>
      <x:c r="L7" s="26"/>
      <x:c r="M7" s="26"/>
      <x:c r="N7" s="26"/>
    </x:row>
    <x:row r="8">
      <x:c r="A8" s="26" t="n">
        <x:v>4</x:v>
      </x:c>
      <x:c r="B8" s="70" t="n">
        <x:v>211365.44</x:v>
      </x:c>
      <x:c r="C8" s="70" t="n">
        <x:v>70758.95</x:v>
      </x:c>
      <x:c r="D8" s="74" t="n">
        <x:f>B8-C8</x:f>
        <x:v>140606.49</x:v>
      </x:c>
      <x:c r="E8" s="70" t="n">
        <x:v>23262.23</x:v>
      </x:c>
      <x:c r="F8" s="74" t="n">
        <x:f>D8+E8</x:f>
        <x:v>163868.72</x:v>
      </x:c>
      <x:c r="G8" s="26"/>
      <x:c r="H8" s="26"/>
      <x:c r="I8" s="26"/>
      <x:c r="J8" s="26"/>
      <x:c r="K8" s="26"/>
      <x:c r="L8" s="26"/>
      <x:c r="M8" s="26"/>
      <x:c r="N8" s="26"/>
    </x:row>
    <x:row r="9">
      <x:c r="A9" s="26" t="n">
        <x:v>5</x:v>
      </x:c>
      <x:c r="B9" s="70" t="n">
        <x:v>176744.31</x:v>
      </x:c>
      <x:c r="C9" s="70" t="n">
        <x:v>40212.28</x:v>
      </x:c>
      <x:c r="D9" s="74" t="n">
        <x:f>B9-C9</x:f>
        <x:v>136532.03</x:v>
      </x:c>
      <x:c r="E9" s="70" t="n">
        <x:v>35323.91</x:v>
      </x:c>
      <x:c r="F9" s="74" t="n">
        <x:f>D9+E9</x:f>
        <x:v>171855.94</x:v>
      </x:c>
      <x:c r="G9" s="26"/>
      <x:c r="H9" s="26"/>
      <x:c r="I9" s="26"/>
      <x:c r="J9" s="26"/>
      <x:c r="K9" s="26"/>
      <x:c r="L9" s="26"/>
      <x:c r="M9" s="26"/>
      <x:c r="N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4" t="str">
        <x:v>Resultado</x:v>
      </x:c>
      <x:c r="B11" s="24" t="str">
        <x:v>Valor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 t="str">
        <x:v>Menor custo total anual</x:v>
      </x:c>
      <x:c r="B12" s="74" t="n">
        <x:f>MIN(F5:F9)</x:f>
        <x:v>157060.41999999998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 t="str">
        <x:v>Vida econômica (anos)</x:v>
      </x:c>
      <x:c r="B13" s="86" t="n">
        <x:f>MATCH(B12,F5:F9,0)</x:f>
        <x:v>3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aeb1a724694548b1"/>
</x:worksheet>
</file>