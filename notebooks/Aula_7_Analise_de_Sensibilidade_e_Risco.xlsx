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796202c8e48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a3a9ae897894409"/>
    <x:sheet xmlns:r="http://schemas.openxmlformats.org/officeDocument/2006/relationships" name="Sensibilidade_Exemplo" sheetId="2" r:id="R5d13a7dfc1294e4d"/>
    <x:sheet xmlns:r="http://schemas.openxmlformats.org/officeDocument/2006/relationships" name="Ex1_BreakEven" sheetId="3" r:id="R1fcefc12a0bd4ca7"/>
    <x:sheet xmlns:r="http://schemas.openxmlformats.org/officeDocument/2006/relationships" name="Ex2_PE_Monetario" sheetId="4" r:id="R1f3394d3a59b47c6"/>
    <x:sheet xmlns:r="http://schemas.openxmlformats.org/officeDocument/2006/relationships" name="Ex3_Limite_Receita" sheetId="5" r:id="Rd19f445a0e804b1b"/>
    <x:sheet xmlns:r="http://schemas.openxmlformats.org/officeDocument/2006/relationships" name="Ex4_Vida_Minima" sheetId="6" r:id="R4da6e92d33dd4e5f"/>
    <x:sheet xmlns:r="http://schemas.openxmlformats.org/officeDocument/2006/relationships" name="Ex5_Empilhadeiras" sheetId="7" r:id="R5aa43e7b70094852"/>
    <x:sheet xmlns:r="http://schemas.openxmlformats.org/officeDocument/2006/relationships" name="Ex6_Fisher" sheetId="8" r:id="R03208b7ce1eb4b63"/>
    <x:sheet xmlns:r="http://schemas.openxmlformats.org/officeDocument/2006/relationships" name="Ex7_Alavancagem" sheetId="9" r:id="Rbdc6dbdb7f40433a"/>
    <x:sheet xmlns:r="http://schemas.openxmlformats.org/officeDocument/2006/relationships" name="Ex8_PE_Economico" sheetId="10" r:id="R67899dd13246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;[Red](R$ #,##0.00);-"/>
    <x:numFmt numFmtId="201" formatCode="#,##0;[Red](#,##0);-"/>
    <x:numFmt numFmtId="202" formatCode="0.00%"/>
    <x:numFmt numFmtId="203" formatCode="#,##0.00;[Red](#,##0.00);-"/>
    <x:numFmt numFmtId="204" formatCode="0.00x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5" fillId="4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02855b04c41cb" /><Relationship Type="http://schemas.openxmlformats.org/officeDocument/2006/relationships/theme" Target="/xl/theme/theme1.xml" Id="R8885450414e74c4a" /><Relationship Type="http://schemas.openxmlformats.org/officeDocument/2006/relationships/sharedStrings" Target="/xl/sharedStrings.xml" Id="R38b23bb3c49743c0" /><Relationship Type="http://schemas.openxmlformats.org/officeDocument/2006/relationships/worksheet" Target="/xl/worksheets/sheet1.xml" Id="Rea3a9ae897894409" /><Relationship Type="http://schemas.openxmlformats.org/officeDocument/2006/relationships/worksheet" Target="/xl/worksheets/sheet2.xml" Id="R5d13a7dfc1294e4d" /><Relationship Type="http://schemas.openxmlformats.org/officeDocument/2006/relationships/worksheet" Target="/xl/worksheets/sheet3.xml" Id="R1fcefc12a0bd4ca7" /><Relationship Type="http://schemas.openxmlformats.org/officeDocument/2006/relationships/worksheet" Target="/xl/worksheets/sheet4.xml" Id="R1f3394d3a59b47c6" /><Relationship Type="http://schemas.openxmlformats.org/officeDocument/2006/relationships/worksheet" Target="/xl/worksheets/sheet5.xml" Id="Rd19f445a0e804b1b" /><Relationship Type="http://schemas.openxmlformats.org/officeDocument/2006/relationships/worksheet" Target="/xl/worksheets/sheet6.xml" Id="R4da6e92d33dd4e5f" /><Relationship Type="http://schemas.openxmlformats.org/officeDocument/2006/relationships/worksheet" Target="/xl/worksheets/sheet7.xml" Id="R5aa43e7b70094852" /><Relationship Type="http://schemas.openxmlformats.org/officeDocument/2006/relationships/worksheet" Target="/xl/worksheets/sheet8.xml" Id="R03208b7ce1eb4b63" /><Relationship Type="http://schemas.openxmlformats.org/officeDocument/2006/relationships/worksheet" Target="/xl/worksheets/sheet9.xml" Id="Rbdc6dbdb7f40433a" /><Relationship Type="http://schemas.openxmlformats.org/officeDocument/2006/relationships/worksheet" Target="/xl/worksheets/sheet10.xml" Id="R67899dd1324649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a47c88765e4e7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86f80e6e82b4fc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a4a1af204141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VPL por cenário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Investimento</c:v>
          </c:tx>
          <c:cat>
            <c:strRef>
              <c:f>'Sensibilidade_Exemplo'!$A$11:$A$13</c:f>
              <c:strCache>
                <c:ptCount val="0"/>
              </c:strCache>
            </c:strRef>
          </c:cat>
          <c:val>
            <c:numRef>
              <c:f>'Sensibilidade_Exemplo'!$B$11:$B$13</c:f>
              <c:numCache>
                <c:formatCode>R$ #,##0.00;[Red](R$ #,##0.00);-</c:formatCode>
                <c:ptCount val="0"/>
              </c:numCache>
            </c:numRef>
          </c:val>
        </c:ser>
        <c:ser>
          <c:idx val="1"/>
          <c:order val="1"/>
          <c:tx>
            <c:v>Receita anual</c:v>
          </c:tx>
          <c:cat>
            <c:strRef>
              <c:f>'Sensibilidade_Exemplo'!$A$11:$A$13</c:f>
              <c:strCache>
                <c:ptCount val="0"/>
              </c:strCache>
            </c:strRef>
          </c:cat>
          <c:val>
            <c:numRef>
              <c:f>'Sensibilidade_Exemplo'!$C$11:$C$13</c:f>
              <c:numCache>
                <c:formatCode>R$ #,##0.00;[Red](R$ #,##0.00);-</c:formatCode>
                <c:ptCount val="0"/>
              </c:numCache>
            </c:numRef>
          </c:val>
        </c:ser>
        <c:ser>
          <c:idx val="2"/>
          <c:order val="2"/>
          <c:tx>
            <c:v>VPL</c:v>
          </c:tx>
          <c:cat>
            <c:strRef>
              <c:f>'Sensibilidade_Exemplo'!$A$11:$A$13</c:f>
              <c:strCache>
                <c:ptCount val="0"/>
              </c:strCache>
            </c:strRef>
          </c:cat>
          <c:val>
            <c:numRef>
              <c:f>'Sensibilidade_Exemplo'!$D$11:$D$13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VPL conforme a vida útil</a:t>
            </a:r>
          </a:p>
        </c:rich>
      </c:tx>
    </c:title>
    <c:plotArea>
      <c:lineChart>
        <c:grouping val="standard"/>
        <c:ser>
          <c:idx val="0"/>
          <c:order val="0"/>
          <c:tx>
            <c:v>VPL</c:v>
          </c:tx>
          <c:marker>
            <c:symbol val="none"/>
          </c:marker>
          <c:cat>
            <c:strRef>
              <c:f>'Ex4_Vida_Minima'!$D$5:$D$9</c:f>
              <c:strCache>
                <c:ptCount val="0"/>
              </c:strCache>
            </c:strRef>
          </c:cat>
          <c:val>
            <c:numRef>
              <c:f>'Ex4_Vida_Minima'!$E$5:$E$9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 anual por horas de uso</a:t>
            </a:r>
          </a:p>
        </c:rich>
      </c:tx>
    </c:title>
    <c:plotArea>
      <c:lineChart>
        <c:grouping val="standard"/>
        <c:ser>
          <c:idx val="0"/>
          <c:order val="0"/>
          <c:tx>
            <c:v>Custo total Elétrica</c:v>
          </c:tx>
          <c:marker>
            <c:symbol val="none"/>
          </c:marker>
          <c:cat>
            <c:strRef>
              <c:f>'Ex5_Empilhadeiras'!$A$17:$A$21</c:f>
              <c:strCache>
                <c:ptCount val="0"/>
              </c:strCache>
            </c:strRef>
          </c:cat>
          <c:val>
            <c:numRef>
              <c:f>'Ex5_Empilhadeiras'!$B$17:$B$21</c:f>
              <c:numCache>
                <c:formatCode>R$ #,##0.00;[Red](R$ #,##0.00);-</c:formatCode>
                <c:ptCount val="0"/>
              </c:numCache>
            </c:numRef>
          </c:val>
        </c:ser>
        <c:ser>
          <c:idx val="1"/>
          <c:order val="1"/>
          <c:tx>
            <c:v>Custo total Diesel</c:v>
          </c:tx>
          <c:marker>
            <c:symbol val="none"/>
          </c:marker>
          <c:cat>
            <c:strRef>
              <c:f>'Ex5_Empilhadeiras'!$A$17:$A$21</c:f>
              <c:strCache>
                <c:ptCount val="0"/>
              </c:strCache>
            </c:strRef>
          </c:cat>
          <c:val>
            <c:numRef>
              <c:f>'Ex5_Empilhadeiras'!$C$17:$C$21</c:f>
              <c:numCache>
                <c:formatCode>R$ #,##0.00;[Red](R$ #,##0.00);-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a47c88765e4e7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6f80e6e82b4fc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a4a1af204141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dbd738757745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f967b38bbdc44f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25c6a1d5d60c4d9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7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4" hidden="0" customWidth="1"/>
  </x:cols>
  <x:sheetData>
    <x:row r="1" ht="26" customHeight="1">
      <x:c r="A1" s="68" t="str">
        <x:v>Engenharia Econômica — Aula 7: Análise de Sensibilidade e Risco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Engenharia Econômica - Aula 7 - Análise de Sensibilidade e Risco.pdf — Prof. Dr. Octaviano Rojas Luiz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9" t="str">
        <x:v>Conceitos centrais</x:v>
      </x:c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6" t="str">
        <x:v>Tema</x:v>
      </x:c>
      <x:c r="B5" s="26" t="str">
        <x:v>Ideia-chave</x:v>
      </x:c>
      <x:c r="C5" s="26" t="str">
        <x:v>Fórmula / regra</x:v>
      </x:c>
      <x:c r="D5" s="26" t="str">
        <x:v>Interpretação</x:v>
      </x:c>
      <x:c r="E5" s="28"/>
      <x:c r="F5" s="26" t="str">
        <x:v>Bloco</x:v>
      </x:c>
      <x:c r="G5" s="26" t="str">
        <x:v>O que mede</x:v>
      </x:c>
      <x:c r="H5" s="26" t="str">
        <x:v>Uso</x:v>
      </x:c>
      <x:c r="I5" s="28"/>
      <x:c r="J5" s="28"/>
      <x:c r="K5" s="28"/>
      <x:c r="L5" s="28"/>
      <x:c r="M5" s="28"/>
      <x:c r="N5" s="28"/>
    </x:row>
    <x:row r="6">
      <x:c r="A6" s="28" t="str">
        <x:v>Margem de contribuição</x:v>
      </x:c>
      <x:c r="B6" s="28" t="str">
        <x:v>Quanto sobra por unidade após o custo variável</x:v>
      </x:c>
      <x:c r="C6" s="28" t="str">
        <x:v>MC = Preço - CV unitário</x:v>
      </x:c>
      <x:c r="D6" s="28" t="str">
        <x:v>Paga os custos fixos e depois gera lucro.</x:v>
      </x:c>
      <x:c r="E6" s="28"/>
      <x:c r="F6" s="28" t="str">
        <x:v>Break-even</x:v>
      </x:c>
      <x:c r="G6" s="28" t="str">
        <x:v>Limite mínimo de operação</x:v>
      </x:c>
      <x:c r="H6" s="28" t="str">
        <x:v>Gestão de custos e preços</x:v>
      </x:c>
      <x:c r="I6" s="28"/>
      <x:c r="J6" s="28"/>
      <x:c r="K6" s="28"/>
      <x:c r="L6" s="28"/>
      <x:c r="M6" s="28"/>
      <x:c r="N6" s="28"/>
    </x:row>
    <x:row r="7">
      <x:c r="A7" s="28" t="str">
        <x:v>Ponto de equilíbrio</x:v>
      </x:c>
      <x:c r="B7" s="28" t="str">
        <x:v>Volume em que lucro = 0</x:v>
      </x:c>
      <x:c r="C7" s="28" t="str">
        <x:v>Qpe = CF / MC</x:v>
      </x:c>
      <x:c r="D7" s="28" t="str">
        <x:v>Abaixo há prejuízo; acima há lucro.</x:v>
      </x:c>
      <x:c r="E7" s="28"/>
      <x:c r="F7" s="28" t="str">
        <x:v>Sensibilidade</x:v>
      </x:c>
      <x:c r="G7" s="28" t="str">
        <x:v>Queda do VPL diante de mudanças</x:v>
      </x:c>
      <x:c r="H7" s="28" t="str">
        <x:v>Risco de projeto</x:v>
      </x:c>
      <x:c r="I7" s="28"/>
      <x:c r="J7" s="28"/>
      <x:c r="K7" s="28"/>
      <x:c r="L7" s="28"/>
      <x:c r="M7" s="28"/>
      <x:c r="N7" s="28"/>
    </x:row>
    <x:row r="8">
      <x:c r="A8" s="28" t="str">
        <x:v>Lucro-alvo</x:v>
      </x:c>
      <x:c r="B8" s="28" t="str">
        <x:v>Volume para atingir uma meta de lucro</x:v>
      </x:c>
      <x:c r="C8" s="28" t="str">
        <x:v>Qalvo = (CF + Lucro alvo) / MC</x:v>
      </x:c>
      <x:c r="D8" s="28" t="str">
        <x:v>Ponto de equilíbrio econômico.</x:v>
      </x:c>
      <x:c r="E8" s="28"/>
      <x:c r="F8" s="28" t="str">
        <x:v>Limite de tolerância</x:v>
      </x:c>
      <x:c r="G8" s="28" t="str">
        <x:v>Valor crítico que zera o VPL</x:v>
      </x:c>
      <x:c r="H8" s="28" t="str">
        <x:v>Margem de segurança</x:v>
      </x:c>
      <x:c r="I8" s="28"/>
      <x:c r="J8" s="28"/>
      <x:c r="K8" s="28"/>
      <x:c r="L8" s="28"/>
      <x:c r="M8" s="28"/>
      <x:c r="N8" s="28"/>
    </x:row>
    <x:row r="9">
      <x:c r="A9" s="28" t="str">
        <x:v>PE monetário</x:v>
      </x:c>
      <x:c r="B9" s="28" t="str">
        <x:v>Faturamento necessário para empatar</x:v>
      </x:c>
      <x:c r="C9" s="28" t="str">
        <x:v>PE receita = CF / %MC</x:v>
      </x:c>
      <x:c r="D9" s="28" t="str">
        <x:v>Útil para mix de vários produtos.</x:v>
      </x:c>
      <x:c r="E9" s="28"/>
      <x:c r="F9" s="28" t="str">
        <x:v>Ponto de indiferença</x:v>
      </x:c>
      <x:c r="G9" s="28" t="str">
        <x:v>Empate entre alternativas</x:v>
      </x:c>
      <x:c r="H9" s="28" t="str">
        <x:v>Escolha de equipamento</x:v>
      </x:c>
      <x:c r="I9" s="28"/>
      <x:c r="J9" s="28"/>
      <x:c r="K9" s="28"/>
      <x:c r="L9" s="28"/>
      <x:c r="M9" s="28"/>
      <x:c r="N9" s="28"/>
    </x:row>
    <x:row r="10">
      <x:c r="A10" s="28" t="str">
        <x:v>Sensibilidade</x:v>
      </x:c>
      <x:c r="B10" s="28" t="str">
        <x:v>Varia uma variável por vez</x:v>
      </x:c>
      <x:c r="C10" s="28" t="str">
        <x:v>Ceteris paribus</x:v>
      </x:c>
      <x:c r="D10" s="28" t="str">
        <x:v>Mostra qual variável ameaça mais o VPL.</x:v>
      </x:c>
      <x:c r="E10" s="28"/>
      <x:c r="F10" s="28" t="str">
        <x:v>Probabilidades</x:v>
      </x:c>
      <x:c r="G10" s="28" t="str">
        <x:v>VPL esperado</x:v>
      </x:c>
      <x:c r="H10" s="28" t="str">
        <x:v>Cenários incertos</x:v>
      </x:c>
      <x:c r="I10" s="28"/>
      <x:c r="J10" s="28"/>
      <x:c r="K10" s="28"/>
      <x:c r="L10" s="28"/>
      <x:c r="M10" s="28"/>
      <x:c r="N10" s="28"/>
    </x:row>
    <x:row r="11">
      <x:c r="A11" s="28" t="str">
        <x:v>Ponto de indiferença</x:v>
      </x:c>
      <x:c r="B11" s="28" t="str">
        <x:v>Nível em que duas alternativas empatam</x:v>
      </x:c>
      <x:c r="C11" s="28" t="str">
        <x:v>CTA = CTB</x:v>
      </x:c>
      <x:c r="D11" s="28" t="str">
        <x:v>Ajuda a escolher tecnologia/capacidade.</x:v>
      </x:c>
      <x:c r="E11" s="28"/>
      <x:c r="F11" s="28" t="str">
        <x:v>Alavancagem</x:v>
      </x:c>
      <x:c r="G11" s="28" t="str">
        <x:v>Efeito da dívida no ROE</x:v>
      </x:c>
      <x:c r="H11" s="28" t="str">
        <x:v>Estrutura de capital</x:v>
      </x:c>
      <x:c r="I11" s="28"/>
      <x:c r="J11" s="28"/>
      <x:c r="K11" s="28"/>
      <x:c r="L11" s="28"/>
      <x:c r="M11" s="28"/>
      <x:c r="N11" s="28"/>
    </x:row>
    <x:row r="12">
      <x:c r="A12" s="28" t="str">
        <x:v>Alavancagem financeira</x:v>
      </x:c>
      <x:c r="B12" s="28" t="str">
        <x:v>Uso de dívida para ampliar retorno do capital próprio</x:v>
      </x:c>
      <x:c r="C12" s="28" t="str">
        <x:v>GAF = ROE / Retorno Operacional</x:v>
      </x:c>
      <x:c r="D12" s="28" t="str">
        <x:v>Amplia ganhos e também perdas.</x:v>
      </x:c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9" t="str">
        <x:v>Resultados dos exercícios 1 a 8</x:v>
      </x:c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6" t="str">
        <x:v>Ex.</x:v>
      </x:c>
      <x:c r="B15" s="26" t="str">
        <x:v>Tema</x:v>
      </x:c>
      <x:c r="C15" s="26" t="str">
        <x:v>Resultado 1</x:v>
      </x:c>
      <x:c r="D15" s="26" t="str">
        <x:v>Valor 1</x:v>
      </x:c>
      <x:c r="E15" s="26" t="str">
        <x:v>Resultado 2</x:v>
      </x:c>
      <x:c r="F15" s="26" t="str">
        <x:v>Valor 2</x:v>
      </x:c>
      <x:c r="G15" s="26" t="str">
        <x:v>Conclusão</x:v>
      </x:c>
      <x:c r="H15" s="26" t="str">
        <x:v>Aba</x:v>
      </x:c>
      <x:c r="I15" s="28"/>
      <x:c r="J15" s="28"/>
      <x:c r="K15" s="28"/>
      <x:c r="L15" s="28"/>
      <x:c r="M15" s="28"/>
      <x:c r="N15" s="28"/>
    </x:row>
    <x:row r="16">
      <x:c r="A16" s="28" t="n">
        <x:v>1</x:v>
      </x:c>
      <x:c r="B16" s="28" t="str">
        <x:v>Break-even</x:v>
      </x:c>
      <x:c r="C16" s="28" t="str">
        <x:v>Ponto de equilíbrio</x:v>
      </x:c>
      <x:c r="D16" s="54" t="n">
        <x:f>'Ex1_BreakEven'!B12</x:f>
        <x:v>750</x:v>
      </x:c>
      <x:c r="E16" s="55" t="str">
        <x:v>Quantidade p/ lucro alvo</x:v>
      </x:c>
      <x:c r="F16" s="54" t="n">
        <x:f>'Ex1_BreakEven'!B13</x:f>
        <x:v>1250</x:v>
      </x:c>
      <x:c r="G16" s="28" t="str">
        <x:v>750 e 1.250 hambúrgueres</x:v>
      </x:c>
      <x:c r="H16" s="28" t="str">
        <x:v>Ex1_BreakEven</x:v>
      </x:c>
      <x:c r="I16" s="28"/>
      <x:c r="J16" s="28"/>
      <x:c r="K16" s="28"/>
      <x:c r="L16" s="28"/>
      <x:c r="M16" s="28"/>
      <x:c r="N16" s="28"/>
    </x:row>
    <x:row r="17">
      <x:c r="A17" s="28" t="n">
        <x:v>2</x:v>
      </x:c>
      <x:c r="B17" s="28" t="str">
        <x:v>PE monetário</x:v>
      </x:c>
      <x:c r="C17" s="28" t="str">
        <x:v>Faturamento de equilíbrio</x:v>
      </x:c>
      <x:c r="D17" s="58" t="n">
        <x:f>'Ex2_PE_Monetario'!B9</x:f>
        <x:v>100000</x:v>
      </x:c>
      <x:c r="E17" s="28" t="str"/>
      <x:c r="F17" s="28"/>
      <x:c r="G17" s="28" t="str">
        <x:v>R$ 100 mil/mês</x:v>
      </x:c>
      <x:c r="H17" s="28" t="str">
        <x:v>Ex2_PE_Monetario</x:v>
      </x:c>
      <x:c r="I17" s="28"/>
      <x:c r="J17" s="28"/>
      <x:c r="K17" s="28"/>
      <x:c r="L17" s="28"/>
      <x:c r="M17" s="28"/>
      <x:c r="N17" s="28"/>
    </x:row>
    <x:row r="18">
      <x:c r="A18" s="28" t="n">
        <x:v>3</x:v>
      </x:c>
      <x:c r="B18" s="28" t="str">
        <x:v>Sensibilidade / VPL</x:v>
      </x:c>
      <x:c r="C18" s="28" t="str">
        <x:v>VPL base</x:v>
      </x:c>
      <x:c r="D18" s="58" t="n">
        <x:f>'Ex3_Limite_Receita'!B12</x:f>
        <x:v>11120.48039879222</x:v>
      </x:c>
      <x:c r="E18" s="60" t="str">
        <x:v>Economia anual mínima</x:v>
      </x:c>
      <x:c r="F18" s="58" t="n">
        <x:f>'Ex3_Limite_Receita'!B13</x:f>
        <x:v>26338.75490445517</x:v>
      </x:c>
      <x:c r="G18" s="28" t="str">
        <x:v>Limite que zera o VPL</x:v>
      </x:c>
      <x:c r="H18" s="28" t="str">
        <x:v>Ex3_Limite_Receita</x:v>
      </x:c>
      <x:c r="I18" s="28"/>
      <x:c r="J18" s="28"/>
      <x:c r="K18" s="28"/>
      <x:c r="L18" s="28"/>
      <x:c r="M18" s="28"/>
      <x:c r="N18" s="28"/>
    </x:row>
    <x:row r="19">
      <x:c r="A19" s="28" t="n">
        <x:v>4</x:v>
      </x:c>
      <x:c r="B19" s="28" t="str">
        <x:v>Vida útil mínima</x:v>
      </x:c>
      <x:c r="C19" s="28" t="str">
        <x:v>Prazo contínuo</x:v>
      </x:c>
      <x:c r="D19" s="62" t="n">
        <x:f>'Ex4_Vida_Minima'!B11</x:f>
        <x:v>3.0183771874358234</x:v>
      </x:c>
      <x:c r="E19" s="28" t="str">
        <x:v>Prazo mínimo inteiro</x:v>
      </x:c>
      <x:c r="F19" s="54" t="n">
        <x:f>'Ex4_Vida_Minima'!B12</x:f>
        <x:v>4</x:v>
      </x:c>
      <x:c r="G19" s="28" t="str">
        <x:v>São necessários 4 anos completos</x:v>
      </x:c>
      <x:c r="H19" s="28" t="str">
        <x:v>Ex4_Vida_Minima</x:v>
      </x:c>
      <x:c r="I19" s="28"/>
      <x:c r="J19" s="28"/>
      <x:c r="K19" s="28"/>
      <x:c r="L19" s="28"/>
      <x:c r="M19" s="28"/>
      <x:c r="N19" s="28"/>
    </x:row>
    <x:row r="20">
      <x:c r="A20" s="28" t="n">
        <x:v>5</x:v>
      </x:c>
      <x:c r="B20" s="28" t="str">
        <x:v>Ponto de indiferença</x:v>
      </x:c>
      <x:c r="C20" s="28" t="str">
        <x:v>CAUE Elétrica</x:v>
      </x:c>
      <x:c r="D20" s="58" t="n">
        <x:f>'Ex5_Empilhadeiras'!B12</x:f>
        <x:v>26379.748079474524</x:v>
      </x:c>
      <x:c r="E20" s="28" t="str">
        <x:v>Horas de indiferença</x:v>
      </x:c>
      <x:c r="F20" s="62" t="n">
        <x:f>'Ex5_Empilhadeiras'!F7</x:f>
        <x:v>527.5949615894905</x:v>
      </x:c>
      <x:c r="G20" s="28" t="str">
        <x:v>Acima do ponto, elétrica é mais barata</x:v>
      </x:c>
      <x:c r="H20" s="28" t="str">
        <x:v>Ex5_Empilhadeiras</x:v>
      </x:c>
      <x:c r="I20" s="28"/>
      <x:c r="J20" s="28"/>
      <x:c r="K20" s="28"/>
      <x:c r="L20" s="28"/>
      <x:c r="M20" s="28"/>
      <x:c r="N20" s="28"/>
    </x:row>
    <x:row r="21">
      <x:c r="A21" s="28" t="n">
        <x:v>6</x:v>
      </x:c>
      <x:c r="B21" s="28" t="str">
        <x:v>Taxa de Fisher</x:v>
      </x:c>
      <x:c r="C21" s="28" t="str">
        <x:v>TMA de indiferença</x:v>
      </x:c>
      <x:c r="D21" s="64" t="n">
        <x:f>'Ex6_Fisher'!F7</x:f>
        <x:v>0.10000000000000009</x:v>
      </x:c>
      <x:c r="E21" s="28" t="str">
        <x:v>Escolha a 12%</x:v>
      </x:c>
      <x:c r="F21" s="52" t="str">
        <x:f>'Ex6_Fisher'!F12</x:f>
        <x:v>Projeto X</x:v>
      </x:c>
      <x:c r="G21" s="28" t="str">
        <x:v>Projeto X a 12%</x:v>
      </x:c>
      <x:c r="H21" s="28" t="str">
        <x:v>Ex6_Fisher</x:v>
      </x:c>
      <x:c r="I21" s="28"/>
      <x:c r="J21" s="28"/>
      <x:c r="K21" s="28"/>
      <x:c r="L21" s="28"/>
      <x:c r="M21" s="28"/>
      <x:c r="N21" s="28"/>
    </x:row>
    <x:row r="22">
      <x:c r="A22" s="28" t="n">
        <x:v>7</x:v>
      </x:c>
      <x:c r="B22" s="28" t="str">
        <x:v>Alavancagem</x:v>
      </x:c>
      <x:c r="C22" s="28" t="str">
        <x:v>ROE</x:v>
      </x:c>
      <x:c r="D22" s="64" t="n">
        <x:f>'Ex7_Alavancagem'!B16</x:f>
        <x:v>0.2</x:v>
      </x:c>
      <x:c r="E22" s="28" t="str">
        <x:v>GAF</x:v>
      </x:c>
      <x:c r="F22" s="66" t="n">
        <x:f>'Ex7_Alavancagem'!B17</x:f>
        <x:v>1.3333333333333335</x:v>
      </x:c>
      <x:c r="G22" s="28" t="str">
        <x:v>Dívida eleva ROE de 15% para 20%</x:v>
      </x:c>
      <x:c r="H22" s="28" t="str">
        <x:v>Ex7_Alavancagem</x:v>
      </x:c>
      <x:c r="I22" s="28"/>
      <x:c r="J22" s="28"/>
      <x:c r="K22" s="28"/>
      <x:c r="L22" s="28"/>
      <x:c r="M22" s="28"/>
      <x:c r="N22" s="28"/>
    </x:row>
    <x:row r="23">
      <x:c r="A23" s="28" t="n">
        <x:v>8</x:v>
      </x:c>
      <x:c r="B23" s="28" t="str">
        <x:v>Break-even econômico</x:v>
      </x:c>
      <x:c r="C23" s="28" t="str">
        <x:v>CAUE equipamento</x:v>
      </x:c>
      <x:c r="D23" s="58" t="n">
        <x:f>'Ex8_PE_Economico'!B14</x:f>
        <x:v>39569.62211921179</x:v>
      </x:c>
      <x:c r="E23" s="28" t="str">
        <x:v>PE anual prático</x:v>
      </x:c>
      <x:c r="F23" s="54" t="n">
        <x:f>'Ex8_PE_Economico'!B18</x:f>
        <x:v>3986</x:v>
      </x:c>
      <x:c r="G23" s="28" t="str">
        <x:v>3.986 unidades/ano</x:v>
      </x:c>
      <x:c r="H23" s="28" t="str">
        <x:v>Ex8_PE_Economico</x:v>
      </x:c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H1"/>
    <x:mergeCell ref="A2:H2"/>
    <x:mergeCell ref="A4:H4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Exemplo da Aula — Sensibilidade do VPL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págs. 16–20 — Projeto Alfa e cenários pessimistas.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Premissas base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Investimento inicial</x:v>
      </x:c>
      <x:c r="B5" s="70" t="n">
        <x:v>100000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Receita líquida anual</x:v>
      </x:c>
      <x:c r="B6" s="70" t="n">
        <x:v>40000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Vida útil (anos)</x:v>
      </x:c>
      <x:c r="B7" s="71" t="n">
        <x:v>4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TMA</x:v>
      </x:c>
      <x:c r="B8" s="72" t="n">
        <x:v>0.1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6" t="str">
        <x:v>Cenário</x:v>
      </x:c>
      <x:c r="B10" s="26" t="str">
        <x:v>Investimento</x:v>
      </x:c>
      <x:c r="C10" s="26" t="str">
        <x:v>Receita anual</x:v>
      </x:c>
      <x:c r="D10" s="26" t="str">
        <x:v>VPL</x:v>
      </x:c>
      <x:c r="E10" s="26" t="str">
        <x:v>Variação vs base</x:v>
      </x:c>
      <x:c r="F10" s="26" t="str">
        <x:v>Leitura</x:v>
      </x:c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 t="str">
        <x:v>Base</x:v>
      </x:c>
      <x:c r="B11" s="60" t="n">
        <x:f>$B$5</x:f>
        <x:v>100000</x:v>
      </x:c>
      <x:c r="C11" s="60" t="n">
        <x:f>$B$6</x:f>
        <x:v>40000</x:v>
      </x:c>
      <x:c r="D11" s="60" t="n">
        <x:f>-B11+C11*(1-(1+$B$8)^(-$B$7))/$B$8</x:f>
        <x:v>26794.617853971795</x:v>
      </x:c>
      <x:c r="E11" s="60" t="n">
        <x:v>0</x:v>
      </x:c>
      <x:c r="F11" s="28" t="str">
        <x:v>Referência</x:v>
      </x:c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Investimento +20%</x:v>
      </x:c>
      <x:c r="B12" s="60" t="n">
        <x:f>$B$5*1.20</x:f>
        <x:v>120000</x:v>
      </x:c>
      <x:c r="C12" s="60" t="n">
        <x:f>$B$6</x:f>
        <x:v>40000</x:v>
      </x:c>
      <x:c r="D12" s="60" t="n">
        <x:f>-B12+C12*(1-(1+$B$8)^(-$B$7))/$B$8</x:f>
        <x:v>6794.617853971795</x:v>
      </x:c>
      <x:c r="E12" s="60" t="n">
        <x:f>D12-D11</x:f>
        <x:v>-20000</x:v>
      </x:c>
      <x:c r="F12" s="28" t="str">
        <x:v>Sensibilidade ao investimento</x:v>
      </x:c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Receita -20%</x:v>
      </x:c>
      <x:c r="B13" s="60" t="n">
        <x:f>$B$5</x:f>
        <x:v>100000</x:v>
      </x:c>
      <x:c r="C13" s="60" t="n">
        <x:f>$B$6*0.80</x:f>
        <x:v>32000</x:v>
      </x:c>
      <x:c r="D13" s="60" t="n">
        <x:f>-B13+C13*(1-(1+$B$8)^(-$B$7))/$B$8</x:f>
        <x:v>1435.6942831774359</x:v>
      </x:c>
      <x:c r="E13" s="60" t="n">
        <x:f>D13-D11</x:f>
        <x:v>-25358.92357079436</x:v>
      </x:c>
      <x:c r="F13" s="28" t="str">
        <x:v>Sensibilidade à receita</x:v>
      </x:c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cedbd738757745b1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1 — Ponto de Equilíbrio e Lucro-Alvo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11.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Custos fixos mensais</x:v>
      </x:c>
      <x:c r="B5" s="70" t="n">
        <x:v>15000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Preço de venda unitário</x:v>
      </x:c>
      <x:c r="B6" s="70" t="n">
        <x:v>35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Custo variável unitário</x:v>
      </x:c>
      <x:c r="B7" s="70" t="n">
        <x:v>15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Lucro-alvo mensal</x:v>
      </x:c>
      <x:c r="B8" s="70" t="n">
        <x:v>10000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6" t="str">
        <x:v>Resultado</x:v>
      </x:c>
      <x:c r="B10" s="26" t="str">
        <x:v>Valor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 t="str">
        <x:v>Margem de contribuição unitária</x:v>
      </x:c>
      <x:c r="B11" s="60" t="n">
        <x:f>B6-B7</x:f>
        <x:v>20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Ponto de equilíbrio (unidades)</x:v>
      </x:c>
      <x:c r="B12" s="55" t="n">
        <x:f>B5/B11</x:f>
        <x:v>750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Quantidade para lucro-alvo</x:v>
      </x:c>
      <x:c r="B13" s="55" t="n">
        <x:f>(B5+B8)/B11</x:f>
        <x:v>1250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 t="str">
        <x:v>Lucro no ponto de equilíbrio</x:v>
      </x:c>
      <x:c r="B14" s="60" t="n">
        <x:f>B12*B11-B5</x:f>
        <x:v>0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2 — Ponto de Equilíbrio Monetário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13.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Custos fixos mensais</x:v>
      </x:c>
      <x:c r="B5" s="70" t="n">
        <x:v>40000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Margem de contribuição média</x:v>
      </x:c>
      <x:c r="B6" s="72" t="n">
        <x:v>0.4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6" t="str">
        <x:v>Resultado</x:v>
      </x:c>
      <x:c r="B8" s="26" t="str">
        <x:v>Valor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 t="str">
        <x:v>Faturamento de equilíbrio</x:v>
      </x:c>
      <x:c r="B9" s="60" t="n">
        <x:f>B5/B6</x:f>
        <x:v>100000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3 — VPL Base e Economia Anual Mínima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21.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Investimento inicial</x:v>
      </x:c>
      <x:c r="B5" s="70" t="n">
        <x:v>80000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Economia anual projetada</x:v>
      </x:c>
      <x:c r="B6" s="70" t="n">
        <x:v>30000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Vida útil (anos)</x:v>
      </x:c>
      <x:c r="B7" s="71" t="n">
        <x:v>4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TMA</x:v>
      </x:c>
      <x:c r="B8" s="72" t="n">
        <x:v>0.12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6" t="str">
        <x:v>Resultado</x:v>
      </x:c>
      <x:c r="B10" s="26" t="str">
        <x:v>Valor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 t="str">
        <x:v>Fator de valor presente</x:v>
      </x:c>
      <x:c r="B11" s="76" t="n">
        <x:f>(1-(1+B8)^(-B7))/B8</x:f>
        <x:v>3.0373493466264074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VPL base</x:v>
      </x:c>
      <x:c r="B12" s="60" t="n">
        <x:f>-B5+B6*B11</x:f>
        <x:v>11120.48039879222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Economia anual mínima</x:v>
      </x:c>
      <x:c r="B13" s="60" t="n">
        <x:f>B5/B11</x:f>
        <x:v>26338.75490445517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 t="str">
        <x:v>Queda tolerável da economia anual</x:v>
      </x:c>
      <x:c r="B14" s="77" t="n">
        <x:f>(B6-B13)/B6</x:f>
        <x:v>0.12204150318482765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4 — Prazo Mínimo para o Projeto se Pagar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23.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6" t="str">
        <x:v>Vida (anos)</x:v>
      </x:c>
      <x:c r="E4" s="26" t="str">
        <x:v>VPL</x:v>
      </x:c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Investimento inicial</x:v>
      </x:c>
      <x:c r="B5" s="70" t="n">
        <x:v>100000</x:v>
      </x:c>
      <x:c r="C5" s="28"/>
      <x:c r="D5" s="28" t="n">
        <x:v>1</x:v>
      </x:c>
      <x:c r="E5" s="60" t="n">
        <x:f>-$B$5+$B$6*(1-(1+$B$7)^(-D5))/$B$7</x:f>
        <x:v>-63636.363636363625</x:v>
      </x:c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Fluxo anual</x:v>
      </x:c>
      <x:c r="B6" s="70" t="n">
        <x:v>40000</x:v>
      </x:c>
      <x:c r="C6" s="28"/>
      <x:c r="D6" s="28" t="n">
        <x:v>2</x:v>
      </x:c>
      <x:c r="E6" s="60" t="n">
        <x:f>-$B$5+$B$6*(1-(1+$B$7)^(-D6))/$B$7</x:f>
        <x:v>-30578.512396694176</x:v>
      </x:c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TMA</x:v>
      </x:c>
      <x:c r="B7" s="72" t="n">
        <x:v>0.1</x:v>
      </x:c>
      <x:c r="C7" s="28"/>
      <x:c r="D7" s="28" t="n">
        <x:v>3</x:v>
      </x:c>
      <x:c r="E7" s="60" t="n">
        <x:f>-$B$5+$B$6*(1-(1+$B$7)^(-D7))/$B$7</x:f>
        <x:v>-525.9203606310184</x:v>
      </x:c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/>
      <x:c r="B8" s="28"/>
      <x:c r="C8" s="28"/>
      <x:c r="D8" s="28" t="n">
        <x:v>4</x:v>
      </x:c>
      <x:c r="E8" s="60" t="n">
        <x:f>-$B$5+$B$6*(1-(1+$B$7)^(-D8))/$B$7</x:f>
        <x:v>26794.617853971795</x:v>
      </x:c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6" t="str">
        <x:v>Resultado</x:v>
      </x:c>
      <x:c r="B9" s="26" t="str">
        <x:v>Valor</x:v>
      </x:c>
      <x:c r="C9" s="28"/>
      <x:c r="D9" s="28" t="n">
        <x:v>5</x:v>
      </x:c>
      <x:c r="E9" s="60" t="n">
        <x:f>-$B$5+$B$6*(1-(1+$B$7)^(-D9))/$B$7</x:f>
        <x:v>51631.470776338014</x:v>
      </x:c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8" t="str">
        <x:v>Fator VP necessário</x:v>
      </x:c>
      <x:c r="B10" s="76" t="n">
        <x:f>B5/B6</x:f>
        <x:v>2.5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 t="str">
        <x:v>Prazo contínuo de equilíbrio (anos)</x:v>
      </x:c>
      <x:c r="B11" s="76" t="n">
        <x:f>-LN(1-B10*B7)/LN(1+B7)</x:f>
        <x:v>3.0183771874358234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Prazo mínimo inteiro (anos)</x:v>
      </x:c>
      <x:c r="B12" s="55" t="n">
        <x:f>ROUNDUP(B11,0)</x:f>
        <x:v>4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VPL em 3 anos</x:v>
      </x:c>
      <x:c r="B13" s="60" t="n">
        <x:f>-B5+B6*(1-(1+B7)^(-3))/B7</x:f>
        <x:v>-525.9203606310184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f967b38bbdc44f0a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5 — CAUE e Ponto de Indiferença entre Empilhadeiras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30.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</x:v>
      </x:c>
      <x:c r="B4" s="26" t="str">
        <x:v>Elétrica (A)</x:v>
      </x:c>
      <x:c r="C4" s="26" t="str">
        <x:v>Diesel (B)</x:v>
      </x:c>
      <x:c r="D4" s="28"/>
      <x:c r="E4" s="26" t="str">
        <x:v>Resultado</x:v>
      </x:c>
      <x:c r="F4" s="26" t="str">
        <x:v>Valor</x:v>
      </x:c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Compra</x:v>
      </x:c>
      <x:c r="B5" s="70" t="n">
        <x:v>100000</x:v>
      </x:c>
      <x:c r="C5" s="70" t="n">
        <x:v>60000</x:v>
      </x:c>
      <x:c r="D5" s="28"/>
      <x:c r="E5" s="28" t="str">
        <x:v>Diferença de CAUE (A-B)</x:v>
      </x:c>
      <x:c r="F5" s="60" t="n">
        <x:f>B12-C12</x:f>
        <x:v>10551.89923178981</x:v>
      </x:c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Vida útil (anos)</x:v>
      </x:c>
      <x:c r="B6" s="71" t="n">
        <x:v>5</x:v>
      </x:c>
      <x:c r="C6" s="71" t="n">
        <x:v>5</x:v>
      </x:c>
      <x:c r="D6" s="28"/>
      <x:c r="E6" s="28" t="str">
        <x:v>Economia operacional por hora (B-A)</x:v>
      </x:c>
      <x:c r="F6" s="60" t="n">
        <x:f>C7-B7</x:f>
        <x:v>20</x:v>
      </x:c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Custo operacional por hora</x:v>
      </x:c>
      <x:c r="B7" s="70" t="n">
        <x:v>20</x:v>
      </x:c>
      <x:c r="C7" s="70" t="n">
        <x:v>40</x:v>
      </x:c>
      <x:c r="D7" s="28"/>
      <x:c r="E7" s="28" t="str">
        <x:v>Horas de indiferença por ano</x:v>
      </x:c>
      <x:c r="F7" s="76" t="n">
        <x:f>F5/F6</x:f>
        <x:v>527.5949615894905</x:v>
      </x:c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TMA</x:v>
      </x:c>
      <x:c r="B8" s="72" t="n">
        <x:v>0.1</x:v>
      </x:c>
      <x:c r="C8" s="72" t="n">
        <x:v>0.1</x:v>
      </x:c>
      <x:c r="D8" s="28"/>
      <x:c r="E8" s="28" t="str">
        <x:v>Regra de decisão</x:v>
      </x:c>
      <x:c r="F8" s="28" t="str">
        <x:v>Uso acima do ponto → Elétrica; abaixo → Diesel</x:v>
      </x:c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6" t="str">
        <x:v>Cálculo</x:v>
      </x:c>
      <x:c r="B10" s="26" t="str">
        <x:v>Elétrica</x:v>
      </x:c>
      <x:c r="C10" s="26" t="str">
        <x:v>Diesel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 t="str">
        <x:v>Fator de recuperação de capital</x:v>
      </x:c>
      <x:c r="B11" s="28" t="n">
        <x:f>B8*(1+B8)^B6/((1+B8)^B6-1)</x:f>
        <x:v>0.26379748079474524</x:v>
      </x:c>
      <x:c r="C11" s="28" t="n">
        <x:f>C8*(1+C8)^C6/((1+C8)^C6-1)</x:f>
        <x:v>0.26379748079474524</x:v>
      </x:c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CAUE do investimento</x:v>
      </x:c>
      <x:c r="B12" s="60" t="n">
        <x:f>B5*B11</x:f>
        <x:v>26379.748079474524</x:v>
      </x:c>
      <x:c r="C12" s="60" t="n">
        <x:f>C5*C11</x:f>
        <x:v>15827.848847684714</x:v>
      </x:c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Custo total anual no ponto de indiferença</x:v>
      </x:c>
      <x:c r="B13" s="60" t="n">
        <x:f>B12+B7*$F$7</x:f>
        <x:v>36931.647311264336</x:v>
      </x:c>
      <x:c r="C13" s="60" t="n">
        <x:f>C12+C7*$F$7</x:f>
        <x:v>36931.647311264336</x:v>
      </x:c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6" t="str">
        <x:v>Horas/ano</x:v>
      </x:c>
      <x:c r="B16" s="26" t="str">
        <x:v>Custo total Elétrica</x:v>
      </x:c>
      <x:c r="C16" s="26" t="str">
        <x:v>Custo total Diesel</x:v>
      </x:c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 t="n">
        <x:v>0</x:v>
      </x:c>
      <x:c r="B17" s="60" t="n">
        <x:f>$B$12+$B$7*A17</x:f>
        <x:v>26379.748079474524</x:v>
      </x:c>
      <x:c r="C17" s="60" t="n">
        <x:f>$C$12+$C$7*A17</x:f>
        <x:v>15827.848847684714</x:v>
      </x:c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 t="n">
        <x:v>250</x:v>
      </x:c>
      <x:c r="B18" s="60" t="n">
        <x:f>$B$12+$B$7*A18</x:f>
        <x:v>31379.748079474524</x:v>
      </x:c>
      <x:c r="C18" s="60" t="n">
        <x:f>$C$12+$C$7*A18</x:f>
        <x:v>25827.848847684712</x:v>
      </x:c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 t="n">
        <x:v>500</x:v>
      </x:c>
      <x:c r="B19" s="60" t="n">
        <x:f>$B$12+$B$7*A19</x:f>
        <x:v>36379.74807947452</x:v>
      </x:c>
      <x:c r="C19" s="60" t="n">
        <x:f>$C$12+$C$7*A19</x:f>
        <x:v>35827.84884768471</x:v>
      </x:c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 t="n">
        <x:v>750</x:v>
      </x:c>
      <x:c r="B20" s="60" t="n">
        <x:f>$B$12+$B$7*A20</x:f>
        <x:v>41379.74807947452</x:v>
      </x:c>
      <x:c r="C20" s="60" t="n">
        <x:f>$C$12+$C$7*A20</x:f>
        <x:v>45827.84884768471</x:v>
      </x:c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 t="n">
        <x:v>1000</x:v>
      </x:c>
      <x:c r="B21" s="60" t="n">
        <x:f>$B$12+$B$7*A21</x:f>
        <x:v>46379.74807947452</x:v>
      </x:c>
      <x:c r="C21" s="60" t="n">
        <x:f>$C$12+$C$7*A21</x:f>
        <x:v>55827.84884768471</x:v>
      </x:c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5c6a1d5d60c4d98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6 — Taxa de Interseção de Fisher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32.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</x:v>
      </x:c>
      <x:c r="B4" s="26" t="str">
        <x:v>Projeto X</x:v>
      </x:c>
      <x:c r="C4" s="26" t="str">
        <x:v>Projeto Y</x:v>
      </x:c>
      <x:c r="D4" s="28"/>
      <x:c r="E4" s="26" t="str">
        <x:v>Fluxo incremental Y - X</x:v>
      </x:c>
      <x:c r="F4" s="26" t="str">
        <x:v>Valor</x:v>
      </x:c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Investimento inicial</x:v>
      </x:c>
      <x:c r="B5" s="70" t="n">
        <x:v>10000</x:v>
      </x:c>
      <x:c r="C5" s="70" t="n">
        <x:v>15000</x:v>
      </x:c>
      <x:c r="D5" s="28"/>
      <x:c r="E5" s="28" t="str">
        <x:v>Investimento adicional</x:v>
      </x:c>
      <x:c r="F5" s="60" t="n">
        <x:f>C5-B5</x:f>
        <x:v>5000</x:v>
      </x:c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Retorno no ano 1</x:v>
      </x:c>
      <x:c r="B6" s="70" t="n">
        <x:v>12500</x:v>
      </x:c>
      <x:c r="C6" s="70" t="n">
        <x:v>18000</x:v>
      </x:c>
      <x:c r="D6" s="28"/>
      <x:c r="E6" s="28" t="str">
        <x:v>Retorno adicional no ano 1</x:v>
      </x:c>
      <x:c r="F6" s="60" t="n">
        <x:f>C6-B6</x:f>
        <x:v>5500</x:v>
      </x:c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TMA para decisão</x:v>
      </x:c>
      <x:c r="B7" s="72" t="n">
        <x:v>0.12</x:v>
      </x:c>
      <x:c r="C7" s="72" t="n">
        <x:v>0.12</x:v>
      </x:c>
      <x:c r="D7" s="28"/>
      <x:c r="E7" s="28" t="str">
        <x:v>Taxa de Fisher</x:v>
      </x:c>
      <x:c r="F7" s="77" t="n">
        <x:f>F6/F5-1</x:f>
        <x:v>0.10000000000000009</x:v>
      </x:c>
      <x:c r="G7" s="28"/>
      <x:c r="H7" s="28"/>
      <x:c r="I7" s="28"/>
      <x:c r="J7" s="28"/>
      <x:c r="K7" s="28"/>
      <x:c r="L7" s="28"/>
      <x:c r="M7" s="28"/>
      <x:c r="N7" s="28"/>
    </x:row>
    <x:row r="8">
      <x:c r="A8" s="28"/>
      <x:c r="B8" s="28"/>
      <x:c r="C8" s="28"/>
      <x:c r="D8" s="28"/>
      <x:c r="E8" s="28" t="str">
        <x:v>VPL X a 12%</x:v>
      </x:c>
      <x:c r="F8" s="60" t="n">
        <x:f>-B5+B6/(1+B7)</x:f>
        <x:v>1160.7142857142844</x:v>
      </x:c>
      <x:c r="G8" s="28"/>
      <x:c r="H8" s="28"/>
      <x:c r="I8" s="28"/>
      <x:c r="J8" s="28"/>
      <x:c r="K8" s="28"/>
      <x:c r="L8" s="28"/>
      <x:c r="M8" s="28"/>
      <x:c r="N8" s="28"/>
    </x:row>
    <x:row r="9">
      <x:c r="A9" s="28"/>
      <x:c r="B9" s="28"/>
      <x:c r="C9" s="28"/>
      <x:c r="D9" s="28"/>
      <x:c r="E9" s="28" t="str">
        <x:v>VPL Y a 12%</x:v>
      </x:c>
      <x:c r="F9" s="60" t="n">
        <x:f>-C5+C6/(1+C7)</x:f>
        <x:v>1071.4285714285706</x:v>
      </x:c>
      <x:c r="G9" s="28"/>
      <x:c r="H9" s="28"/>
      <x:c r="I9" s="28"/>
      <x:c r="J9" s="28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/>
      <x:c r="B11" s="28"/>
      <x:c r="C11" s="28"/>
      <x:c r="D11" s="28"/>
      <x:c r="E11" s="26" t="str">
        <x:v>Decisão</x:v>
      </x:c>
      <x:c r="F11" s="26" t="str">
        <x:v>Resultado</x:v>
      </x:c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/>
      <x:c r="B12" s="28"/>
      <x:c r="C12" s="28"/>
      <x:c r="D12" s="28"/>
      <x:c r="E12" s="28" t="str">
        <x:v>Projeto escolhido a 12%</x:v>
      </x:c>
      <x:c r="F12" s="28" t="str">
        <x:f>IF(F8&gt;F9,"Projeto X","Projeto Y")</x:f>
        <x:v>Projeto X</x:v>
      </x:c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7 — Alavancagem Financeira e GAF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41.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Investimento total</x:v>
      </x:c>
      <x:c r="B5" s="70" t="n">
        <x:v>500000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Lucro operacional</x:v>
      </x:c>
      <x:c r="B6" s="70" t="n">
        <x:v>75000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Retorno operacional</x:v>
      </x:c>
      <x:c r="B7" s="72" t="n">
        <x:v>0.15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Percentual financiado</x:v>
      </x:c>
      <x:c r="B8" s="72" t="n">
        <x:v>0.5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 t="str">
        <x:v>Taxa de juros da dívida</x:v>
      </x:c>
      <x:c r="B9" s="72" t="n">
        <x:v>0.1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6" t="str">
        <x:v>Resultado</x:v>
      </x:c>
      <x:c r="B11" s="26" t="str">
        <x:v>Valor</x:v>
      </x:c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8" t="str">
        <x:v>Dívida</x:v>
      </x:c>
      <x:c r="B12" s="60" t="n">
        <x:f>B5*B8</x:f>
        <x:v>250000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Capital próprio</x:v>
      </x:c>
      <x:c r="B13" s="60" t="n">
        <x:f>B5-B12</x:f>
        <x:v>250000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 t="str">
        <x:v>Juros anuais</x:v>
      </x:c>
      <x:c r="B14" s="60" t="n">
        <x:f>B12*B9</x:f>
        <x:v>25000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 t="str">
        <x:v>Lucro líquido</x:v>
      </x:c>
      <x:c r="B15" s="60" t="n">
        <x:f>B6-B14</x:f>
        <x:v>50000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 t="str">
        <x:v>ROE</x:v>
      </x:c>
      <x:c r="B16" s="77" t="n">
        <x:f>B15/B13</x:f>
        <x:v>0.2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 t="str">
        <x:v>GAF</x:v>
      </x:c>
      <x:c r="B17" s="80" t="n">
        <x:f>B16/B7</x:f>
        <x:v>1.3333333333333335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 t="str">
        <x:v>Leitura</x:v>
      </x:c>
      <x:c r="B18" s="28" t="str">
        <x:v>A dívida aumenta o retorno do capital próprio enquanto o retorno operacional superar o custo da dívida.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6" customHeight="1">
      <x:c r="A1" s="68" t="str">
        <x:v>Exercício 8 — Ponto de Equilíbrio com CAUE do Equipamento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12" t="str">
        <x:v>Fonte: Aula 7, pág. 42.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</x:row>
    <x:row r="4">
      <x:c r="A4" s="26" t="str">
        <x:v>Entrada / cálculo</x:v>
      </x:c>
      <x:c r="B4" s="26" t="str">
        <x:v>Valor</x:v>
      </x:c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</x:row>
    <x:row r="5">
      <x:c r="A5" s="28" t="str">
        <x:v>Custos fixos tradicionais</x:v>
      </x:c>
      <x:c r="B5" s="70" t="n">
        <x:v>80000</x:v>
      </x:c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</x:row>
    <x:row r="6">
      <x:c r="A6" s="28" t="str">
        <x:v>Custo do equipamento</x:v>
      </x:c>
      <x:c r="B6" s="70" t="n">
        <x:v>150000</x:v>
      </x:c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</x:row>
    <x:row r="7">
      <x:c r="A7" s="28" t="str">
        <x:v>Vida útil (anos)</x:v>
      </x:c>
      <x:c r="B7" s="71" t="n">
        <x:v>5</x:v>
      </x:c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</x:row>
    <x:row r="8">
      <x:c r="A8" s="28" t="str">
        <x:v>TMA</x:v>
      </x:c>
      <x:c r="B8" s="72" t="n">
        <x:v>0.1</x:v>
      </x:c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</x:row>
    <x:row r="9">
      <x:c r="A9" s="28" t="str">
        <x:v>Preço de venda unitário</x:v>
      </x:c>
      <x:c r="B9" s="70" t="n">
        <x:v>50</x:v>
      </x:c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</x:row>
    <x:row r="10">
      <x:c r="A10" s="28" t="str">
        <x:v>Custo variável unitário</x:v>
      </x:c>
      <x:c r="B10" s="70" t="n">
        <x:v>20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</x:row>
    <x:row r="12">
      <x:c r="A12" s="26" t="str">
        <x:v>Resultado</x:v>
      </x:c>
      <x:c r="B12" s="26" t="str">
        <x:v>Valor</x:v>
      </x:c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</x:row>
    <x:row r="13">
      <x:c r="A13" s="28" t="str">
        <x:v>Fator de recuperação de capital</x:v>
      </x:c>
      <x:c r="B13" s="76" t="n">
        <x:f>B8*(1+B8)^B7/((1+B8)^B7-1)</x:f>
        <x:v>0.26379748079474524</x:v>
      </x:c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</x:row>
    <x:row r="14">
      <x:c r="A14" s="28" t="str">
        <x:v>CAUE do equipamento</x:v>
      </x:c>
      <x:c r="B14" s="60" t="n">
        <x:f>B6*B13</x:f>
        <x:v>39569.62211921179</x:v>
      </x:c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</x:row>
    <x:row r="15">
      <x:c r="A15" s="28" t="str">
        <x:v>Custo fixo econômico total</x:v>
      </x:c>
      <x:c r="B15" s="60" t="n">
        <x:f>B5+B14</x:f>
        <x:v>119569.6221192118</x:v>
      </x:c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</x:row>
    <x:row r="16">
      <x:c r="A16" s="28" t="str">
        <x:v>Margem de contribuição unitária</x:v>
      </x:c>
      <x:c r="B16" s="60" t="n">
        <x:f>B9-B10</x:f>
        <x:v>30</x:v>
      </x:c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</x:row>
    <x:row r="17">
      <x:c r="A17" s="28" t="str">
        <x:v>PE anual exato (unidades)</x:v>
      </x:c>
      <x:c r="B17" s="76" t="n">
        <x:f>B15/B16</x:f>
        <x:v>3985.654070640393</x:v>
      </x:c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</x:row>
    <x:row r="18">
      <x:c r="A18" s="28" t="str">
        <x:v>PE anual prático (unidades inteiras)</x:v>
      </x:c>
      <x:c r="B18" s="55" t="n">
        <x:f>ROUNDUP(B17,0)</x:f>
        <x:v>3986</x:v>
      </x:c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</x:row>
    <x:row r="19">
      <x:c r="A19" s="28" t="str">
        <x:v>Faturamento no PE prático</x:v>
      </x:c>
      <x:c r="B19" s="60" t="n">
        <x:f>B18*B9</x:f>
        <x:v>199300</x:v>
      </x:c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</x:row>
  </x:sheetData>
  <x:mergeCells>
    <x:mergeCell ref="A1:F1"/>
    <x:mergeCell ref="A2:F2"/>
  </x:mergeCells>
  <x:pageMargins left="0.7" right="0.7" top="0.75" bottom="0.75" header="0.3" footer="0.3"/>
</x:worksheet>
</file>